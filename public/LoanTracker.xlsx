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Loan Master" sheetId="2" r:id="rId6"/>
    <sheet state="visible" name="Monthly Interest Tracker" sheetId="3" r:id="rId7"/>
    <sheet state="visible" name="Reminder &amp; Follow-up Log" sheetId="4" r:id="rId8"/>
    <sheet state="visible" name="⚙️ Script Setup Guide" sheetId="5" r:id="rId9"/>
  </sheets>
  <definedNames>
    <definedName hidden="1" localSheetId="1" name="_xlnm._FilterDatabase">'Loan Master'!$A$4:$S$52</definedName>
    <definedName hidden="1" localSheetId="2" name="_xlnm._FilterDatabase">'Monthly Interest Tracker'!$A$4:$L$501</definedName>
  </definedNames>
  <calcPr/>
</workbook>
</file>

<file path=xl/sharedStrings.xml><?xml version="1.0" encoding="utf-8"?>
<sst xmlns="http://schemas.openxmlformats.org/spreadsheetml/2006/main" count="409" uniqueCount="190">
  <si>
    <t>LOAN PORTFOLIO DASHBOARD</t>
  </si>
  <si>
    <t>Real-time overview — All values auto-update from Loan Master &amp; Monthly Tracker</t>
  </si>
  <si>
    <t>Total Active
Loans</t>
  </si>
  <si>
    <t>Total Principal
Outstanding</t>
  </si>
  <si>
    <t>Monthly Interest
Expected</t>
  </si>
  <si>
    <t>Your Net Monthly
Income</t>
  </si>
  <si>
    <t>Mediator
Commissions</t>
  </si>
  <si>
    <t>Overdue
Payments</t>
  </si>
  <si>
    <t>Total Amount
Received</t>
  </si>
  <si>
    <t>Total Pending
Amount</t>
  </si>
  <si>
    <t>Closed Loans</t>
  </si>
  <si>
    <t>Defaulted
Loans</t>
  </si>
  <si>
    <t>Annual Interest
Income (est.)</t>
  </si>
  <si>
    <t>Collection
Rate (%)</t>
  </si>
  <si>
    <t>HOW TO USE THIS LOAN TRACKER</t>
  </si>
  <si>
    <t>STEP 1: Go to 'Loan Master' sheet → Enter borrower details, principal, interest rate, mediator info (if any), and loan date.</t>
  </si>
  <si>
    <t>STEP 2: Blue cells are INPUT fields (you type here). Black/Green cells are AUTO-CALCULATED formulas — never edit them.</t>
  </si>
  <si>
    <t>STEP 3: Set Loan Type as 'Direct' (no mediator) or 'Through Mediator'. Mediator commission auto-deducts from your interest.</t>
  </si>
  <si>
    <t>STEP 4: Enter interest rates as DECIMALS → 24% annual = type 0.24 | Mediator commission 2% = type 0.02.</t>
  </si>
  <si>
    <t>STEP 5: Go to 'Monthly Interest Tracker' → Add one row per loan per month. Type the Loan ID → name &amp; amounts auto-fill.</t>
  </si>
  <si>
    <t>STEP 6: When you receive payment, enter the Amount Received + Date Received + mark status as 'Received'.</t>
  </si>
  <si>
    <t>STEP 7: If payment is late (5+ days), mark as 'Overdue' — Days Overdue auto-calculates. Log reminders in 'Reminder Log'.</t>
  </si>
  <si>
    <t>STEP 8: Partial payments → enter actual amount received + mark 'Partial'. Pending amount auto-calculates.</t>
  </si>
  <si>
    <t>STEP 9: Dashboard updates automatically — check it anytime for portfolio overview, overdue count, and collection rate.</t>
  </si>
  <si>
    <t>STEP 10: Keep the 'Reminder &amp; Follow-up Log' updated with all calls/emails/WhatsApp messages for your records.</t>
  </si>
  <si>
    <t>LOAN MASTER REGISTER</t>
  </si>
  <si>
    <t>Enter all loan details below. Blue cells = Your Inputs | Black cells = Auto-Calculated (Do NOT edit)</t>
  </si>
  <si>
    <t>Loan
ID</t>
  </si>
  <si>
    <t>Borrower
Full Name</t>
  </si>
  <si>
    <t>Borrower
Phone No.</t>
  </si>
  <si>
    <t>Borrower
Address / City</t>
  </si>
  <si>
    <t>Loan Type
(Direct/Mediator)</t>
  </si>
  <si>
    <t>Mediator
Name</t>
  </si>
  <si>
    <t>Mediator
Phone No.</t>
  </si>
  <si>
    <t>Mediator
Commission
(% of Interest)</t>
  </si>
  <si>
    <t>Principal
Amount (₹)</t>
  </si>
  <si>
    <t>Annual Interest
Rate (%)</t>
  </si>
  <si>
    <t>Monthly Interest
Rate (%)</t>
  </si>
  <si>
    <t>Date
Given</t>
  </si>
  <si>
    <t>Monthly Due
Day</t>
  </si>
  <si>
    <t>Expected Tenure
(Months)</t>
  </si>
  <si>
    <t>Monthly Interest
Amount (₹)</t>
  </si>
  <si>
    <t>Mediator Monthly
Share (₹)</t>
  </si>
  <si>
    <t>Your Net Monthly
Receipt (₹)</t>
  </si>
  <si>
    <t>Loan
Status</t>
  </si>
  <si>
    <t>Remarks /
Notes</t>
  </si>
  <si>
    <t>Abdule Mateen</t>
  </si>
  <si>
    <t>AgilePoint</t>
  </si>
  <si>
    <t>Direct</t>
  </si>
  <si>
    <t>Active</t>
  </si>
  <si>
    <t>Repaying regularly</t>
  </si>
  <si>
    <t>Adapala Vamsi</t>
  </si>
  <si>
    <t>RachavariPalem</t>
  </si>
  <si>
    <t>Through Mediator</t>
  </si>
  <si>
    <t>Father</t>
  </si>
  <si>
    <t>Kostalu Sailaja</t>
  </si>
  <si>
    <t>Kostalu</t>
  </si>
  <si>
    <t>Kostalu Nani</t>
  </si>
  <si>
    <t>Muchu Sridevi</t>
  </si>
  <si>
    <t>Maddipadu</t>
  </si>
  <si>
    <t>Suddapalli Naveen</t>
  </si>
  <si>
    <t>Suddapalli Suresh</t>
  </si>
  <si>
    <t>RTC Venkateswarlu</t>
  </si>
  <si>
    <t>Vellampalli</t>
  </si>
  <si>
    <t>Madda Chiranjeevi</t>
  </si>
  <si>
    <t>Naveen Katakam</t>
  </si>
  <si>
    <t>Siva Prasad Reddy(Venky)</t>
  </si>
  <si>
    <t>MRF Ramu</t>
  </si>
  <si>
    <t>Sunny</t>
  </si>
  <si>
    <t>Naveen</t>
  </si>
  <si>
    <t>Suddapalli Mahesh Mama</t>
  </si>
  <si>
    <t>Ongole</t>
  </si>
  <si>
    <t>Ashok Adapala</t>
  </si>
  <si>
    <t>PORTFOLIO SUMMARY</t>
  </si>
  <si>
    <t>Total Active Loans</t>
  </si>
  <si>
    <t>Total Principal Outstanding (₹)</t>
  </si>
  <si>
    <t>Total Monthly Interest Expected (₹)</t>
  </si>
  <si>
    <t>Total Mediator Commissions (₹)</t>
  </si>
  <si>
    <t>Your Net Monthly Income (₹)</t>
  </si>
  <si>
    <t>Defaulted Loans</t>
  </si>
  <si>
    <t>Annual Interest Income (est.)</t>
  </si>
  <si>
    <t>MONTHLY INTEREST PAYMENT TRACKER</t>
  </si>
  <si>
    <t>Rows auto-created when you add a new loan | Mark status each month | Enter Loan ID for manual entries</t>
  </si>
  <si>
    <t>S.No</t>
  </si>
  <si>
    <t>Loan ID</t>
  </si>
  <si>
    <t>Borrower
Name</t>
  </si>
  <si>
    <t>Month-Year
(MMM-YYYY)</t>
  </si>
  <si>
    <t>Due Date
(DD-MMM-YYYY)</t>
  </si>
  <si>
    <t>Interest
Amount (₹)</t>
  </si>
  <si>
    <t>Mediator
Share (₹)</t>
  </si>
  <si>
    <t>Net Amount
Expected (₹)</t>
  </si>
  <si>
    <t>Amount
Received (₹)</t>
  </si>
  <si>
    <t>Date
Received</t>
  </si>
  <si>
    <t>Payment
Status</t>
  </si>
  <si>
    <t>Days
Overdue</t>
  </si>
  <si>
    <t>Pending
Amount (₹)</t>
  </si>
  <si>
    <t>Remarks</t>
  </si>
  <si>
    <t>L004</t>
  </si>
  <si>
    <t>Received</t>
  </si>
  <si>
    <t>L007</t>
  </si>
  <si>
    <t>L008</t>
  </si>
  <si>
    <t>L001</t>
  </si>
  <si>
    <t>L015</t>
  </si>
  <si>
    <t>L009</t>
  </si>
  <si>
    <t>L003</t>
  </si>
  <si>
    <t>L016</t>
  </si>
  <si>
    <t>L002</t>
  </si>
  <si>
    <t>L010</t>
  </si>
  <si>
    <t>L005</t>
  </si>
  <si>
    <t>L011</t>
  </si>
  <si>
    <t>L006</t>
  </si>
  <si>
    <t>L014</t>
  </si>
  <si>
    <t>L012</t>
  </si>
  <si>
    <t>L013</t>
  </si>
  <si>
    <t>L018</t>
  </si>
  <si>
    <t>L017</t>
  </si>
  <si>
    <t>Pending</t>
  </si>
  <si>
    <t>COLLECTION SUMMARY</t>
  </si>
  <si>
    <t>Total Net Expected (₹)</t>
  </si>
  <si>
    <t>Total Amount Received (₹)</t>
  </si>
  <si>
    <t>Total Pending Amount (₹)</t>
  </si>
  <si>
    <t>Received Count</t>
  </si>
  <si>
    <t>Overdue Count</t>
  </si>
  <si>
    <t>Partial Count</t>
  </si>
  <si>
    <t>Pending Count</t>
  </si>
  <si>
    <t>OVERDUE PAYMENT — REMINDER &amp; FOLLOW-UP LOG</t>
  </si>
  <si>
    <t>Track all reminders sent for payments not received within 5 days of due date</t>
  </si>
  <si>
    <t>Borrower
Phone</t>
  </si>
  <si>
    <t>Due Date</t>
  </si>
  <si>
    <t>Amount
Due (₹)</t>
  </si>
  <si>
    <t>Reminder
Date</t>
  </si>
  <si>
    <t>Reminder
Method</t>
  </si>
  <si>
    <t>Response / Action
Taken</t>
  </si>
  <si>
    <t>Email</t>
  </si>
  <si>
    <t>Auto-sent overdue reminder email</t>
  </si>
  <si>
    <t>L020</t>
  </si>
  <si>
    <t>⚙️ APPS SCRIPT SETUP GUIDE — Automatic Reminders</t>
  </si>
  <si>
    <t>⚠️ YOU ONLY NEED TO DO THIS ONCE! After setup, everything is automatic forever.</t>
  </si>
  <si>
    <t>STEP 1: Open Apps Script</t>
  </si>
  <si>
    <t>In this Google Sheet → Click 'Extensions' menu → Click 'Apps Script'</t>
  </si>
  <si>
    <t>A new browser tab will open with the script editor.</t>
  </si>
  <si>
    <t>STEP 2: Paste the Script</t>
  </si>
  <si>
    <t>Delete any existing code in the editor (select all → delete).</t>
  </si>
  <si>
    <t>Download the script file 'LoanReminderScript_v3.js' that Claude gave you.</t>
  </si>
  <si>
    <t>Open it in any text editor (Notepad, etc.) → Select All → Copy.</t>
  </si>
  <si>
    <t>Paste into the Apps Script editor.</t>
  </si>
  <si>
    <t>STEP 3: Save &amp; Run Initial Setup</t>
  </si>
  <si>
    <t>Click the 💾 Save button (or Ctrl+S).</t>
  </si>
  <si>
    <t>In the function dropdown (top bar), select 'initialSetup'.</t>
  </si>
  <si>
    <t>Click the ▶️ Run button.</t>
  </si>
  <si>
    <t>Grant all permissions when Google asks (click 'Advanced' → 'Go to Loan Tracker').</t>
  </si>
  <si>
    <t>STEP 4: You're Done! ✅</t>
  </si>
  <si>
    <t>A popup will confirm: '✅ Loan Reminder System Activated!'</t>
  </si>
  <si>
    <t>Close the Apps Script tab. Come back to your spreadsheet.</t>
  </si>
  <si>
    <t>You'll see a new menu: '🔴 Loan Reminders' in the toolbar.</t>
  </si>
  <si>
    <t>HOW IT WORKS AFTER SETUP:</t>
  </si>
  <si>
    <t>✅ Add a new Active loan → Calendar reminder auto-created (due date + 5 days)</t>
  </si>
  <si>
    <t>✅ Change status to 'Closed' → Calendar reminder auto-deleted + confirmation email</t>
  </si>
  <si>
    <t>✅ Change status to 'Defaulted' or 'On Hold' → Same, reminders auto-deleted</t>
  </si>
  <si>
    <t>✅ Change back to 'Active' → Reminders auto-recreated</t>
  </si>
  <si>
    <t>✅ Every day 10 AM → Auto-checks overdue payments → sends you email</t>
  </si>
  <si>
    <t>✅ Overdue emails auto-logged in 'Reminder &amp; Follow-up Log' sheet</t>
  </si>
  <si>
    <t>IMPORTANT NOTES:</t>
  </si>
  <si>
    <t>The script is saved INSIDE this Google Sheet — not in the .xlsx file.</t>
  </si>
  <si>
    <t>If you download as .xlsx and re-upload, you'll need to paste the script again.</t>
  </si>
  <si>
    <t>But if you just use the Google Sheet normally, the script stays forever.</t>
  </si>
  <si>
    <t>To check status anytime: Menu → '🔴 Loan Reminders' → 'Show System Status'</t>
  </si>
  <si>
    <t>To manually check overdue: Menu → '🔴 Loan Reminders' → 'Run Overdue Check Now'</t>
  </si>
  <si>
    <t>TROUBLESHOOTING:</t>
  </si>
  <si>
    <t>Script not working? → Extensions → Apps Script → Run 'initialSetup' again.</t>
  </si>
  <si>
    <t>Duplicate reminders? → Menu → '🔴 Loan Reminders' → 'Delete ALL Reminders' → then 'Recreate'.</t>
  </si>
  <si>
    <t>Need to change overdue days? → In Apps Script, change OVERDUE_DAYS: 5 to your preferred number.</t>
  </si>
  <si>
    <t>NEW: AUTO MONTHLY ENTRY GENERATION</t>
  </si>
  <si>
    <t>✅ On the 1st of every month at 8 AM → auto-creates tracker rows for all Active loans</t>
  </si>
  <si>
    <t>✅ Only creates entries for loans that DON'T already have that month's entry</t>
  </si>
  <si>
    <t>✅ Pre-fills: Loan ID, Borrower Name, Month, Due Date, Interest formulas, Status = 'Pending'</t>
  </si>
  <si>
    <t>✅ You just need to fill: Amount Received + Date Received + change status to 'Received'</t>
  </si>
  <si>
    <t>Manual options in the '🔴 Loan Reminders' menu:</t>
  </si>
  <si>
    <t xml:space="preserve">  • 'Generate This Month's Entries' — create current month rows on demand</t>
  </si>
  <si>
    <t xml:space="preserve">  • 'Generate Next Month's Entries' — pre-create next month rows in advance</t>
  </si>
  <si>
    <t>NEW: SMART AUTO-STATUS UPDATES</t>
  </si>
  <si>
    <t>✅ Enter Amount Received → Status auto-changes to 'Received' (if full) or 'Partial' (if partial)</t>
  </si>
  <si>
    <t>✅ Clear Amount Received → Status auto-reverts to 'Pending'</t>
  </si>
  <si>
    <t>✅ Payment overdue 5+ days → Status auto-changes to 'Overdue' + email sent</t>
  </si>
  <si>
    <t>NEW: SORT &amp; PROTECT</t>
  </si>
  <si>
    <t>✅ After generating entries, tracker auto-sorts by Due Date (oldest first)</t>
  </si>
  <si>
    <t>✅ Menu → 'Sort Tracker by Date' — manually sort anytime</t>
  </si>
  <si>
    <t>✅ Menu → 'Protect Formula Columns' — prevents accidental formula edits</t>
  </si>
  <si>
    <t xml:space="preserve">  Protected columns: S.No, Borrower, Interest, Mediator Share, Net Expected, Days Overdue, Pending</t>
  </si>
  <si>
    <t xml:space="preserve">  Protection shows a warning — you can still override if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</si>
</sst>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₹#,##0;&quot;(₹&quot;#,##0\);\-"/>
    <numFmt numFmtId="165" formatCode="0.0%"/>
    <numFmt numFmtId="166" formatCode="dd\-mmm\-yyyy"/>
    <numFmt numFmtId="167" formatCode="d-mmm-yyyy"/>
    <numFmt numFmtId="168" formatCode="dd-mmm-yyyy"/>
    <numFmt numFmtId="169" formatCode="mmm-yyyy"/>
    <numFmt numFmtId="170" formatCode="₹#,##0;(₹#,##0);&quot;-&quot;"/>
  </numFmts>
  <fonts count="34">
    <font>
      <sz val="11.0"/>
      <color theme="1"/>
      <name val="Calibri"/>
      <scheme val="minor"/>
    </font>
    <font>
      <b/>
      <sz val="22.0"/>
      <color rgb="FF1B2A4A"/>
      <name val="Arial"/>
    </font>
    <font>
      <sz val="11.0"/>
      <color theme="1"/>
      <name val="Calibri"/>
    </font>
    <font>
      <i/>
      <sz val="10.0"/>
      <color rgb="FF6B7280"/>
      <name val="Arial"/>
    </font>
    <font>
      <b/>
      <sz val="10.0"/>
      <color rgb="FFFFFFFF"/>
      <name val="Arial"/>
    </font>
    <font>
      <b/>
      <sz val="18.0"/>
      <color rgb="FF1B2A4A"/>
      <name val="Arial"/>
    </font>
    <font>
      <b/>
      <sz val="18.0"/>
      <color rgb="FF2C3E6B"/>
      <name val="Arial"/>
    </font>
    <font>
      <b/>
      <sz val="18.0"/>
      <color rgb="FF0D7377"/>
      <name val="Arial"/>
    </font>
    <font>
      <b/>
      <sz val="18.0"/>
      <color rgb="FF1A7A3A"/>
      <name val="Arial"/>
    </font>
    <font>
      <b/>
      <sz val="18.0"/>
      <color rgb="FFD97706"/>
      <name val="Arial"/>
    </font>
    <font>
      <b/>
      <sz val="18.0"/>
      <color rgb="FFB91C1C"/>
      <name val="Arial"/>
    </font>
    <font>
      <b/>
      <sz val="18.0"/>
      <color rgb="FF15803D"/>
      <name val="Arial"/>
    </font>
    <font>
      <b/>
      <sz val="18.0"/>
      <color rgb="FF7C3AED"/>
      <name val="Arial"/>
    </font>
    <font>
      <b/>
      <sz val="18.0"/>
      <color rgb="FF6B7280"/>
      <name val="Arial"/>
    </font>
    <font>
      <b/>
      <sz val="18.0"/>
      <color rgb="FFDC2626"/>
      <name val="Arial"/>
    </font>
    <font>
      <b/>
      <sz val="18.0"/>
      <color rgb="FF0369A1"/>
      <name val="Arial"/>
    </font>
    <font>
      <b/>
      <sz val="18.0"/>
      <color rgb="FF7E22CE"/>
      <name val="Arial"/>
    </font>
    <font>
      <b/>
      <sz val="14.0"/>
      <color rgb="FF1B2A4A"/>
      <name val="Arial"/>
    </font>
    <font/>
    <font>
      <sz val="10.0"/>
      <color rgb="FF374151"/>
      <name val="Arial"/>
    </font>
    <font>
      <i/>
      <sz val="9.0"/>
      <color rgb="FF6B7280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10.0"/>
      <color theme="1"/>
      <name val="Arial"/>
    </font>
    <font>
      <b/>
      <sz val="12.0"/>
      <color rgb="FF1B2A4A"/>
      <name val="Arial"/>
    </font>
    <font>
      <sz val="10.0"/>
      <color rgb="FF008000"/>
      <name val="Arial"/>
    </font>
    <font>
      <color theme="1"/>
      <name val="Calibri"/>
      <scheme val="minor"/>
    </font>
    <font>
      <b/>
      <sz val="14.0"/>
      <color rgb="FF0D7377"/>
      <name val="Arial"/>
    </font>
    <font>
      <b/>
      <sz val="12.0"/>
      <color rgb="FF0D7377"/>
      <name val="Arial"/>
    </font>
    <font>
      <b/>
      <sz val="14.0"/>
      <color rgb="FFFFFFFF"/>
      <name val="Arial"/>
    </font>
    <font>
      <b/>
      <sz val="10.0"/>
      <color rgb="FFB91C1C"/>
      <name val="Arial"/>
    </font>
    <font>
      <b/>
      <sz val="11.0"/>
      <color rgb="FF7C3AED"/>
      <name val="Arial"/>
    </font>
    <font>
      <sz val="10.0"/>
      <color rgb="FF333333"/>
      <name val="Arial"/>
    </font>
    <font>
      <i/>
      <sz val="10.0"/>
      <color rgb="FF059669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2C3E6B"/>
        <bgColor rgb="FF2C3E6B"/>
      </patternFill>
    </fill>
    <fill>
      <patternFill patternType="solid">
        <fgColor rgb="FF0D7377"/>
        <bgColor rgb="FF0D7377"/>
      </patternFill>
    </fill>
    <fill>
      <patternFill patternType="solid">
        <fgColor rgb="FF1A7A3A"/>
        <bgColor rgb="FF1A7A3A"/>
      </patternFill>
    </fill>
    <fill>
      <patternFill patternType="solid">
        <fgColor rgb="FFD97706"/>
        <bgColor rgb="FFD97706"/>
      </patternFill>
    </fill>
    <fill>
      <patternFill patternType="solid">
        <fgColor rgb="FFB91C1C"/>
        <bgColor rgb="FFB91C1C"/>
      </patternFill>
    </fill>
    <fill>
      <patternFill patternType="solid">
        <fgColor rgb="FF15803D"/>
        <bgColor rgb="FF15803D"/>
      </patternFill>
    </fill>
    <fill>
      <patternFill patternType="solid">
        <fgColor rgb="FF7C3AED"/>
        <bgColor rgb="FF7C3AED"/>
      </patternFill>
    </fill>
    <fill>
      <patternFill patternType="solid">
        <fgColor rgb="FF6B7280"/>
        <bgColor rgb="FF6B7280"/>
      </patternFill>
    </fill>
    <fill>
      <patternFill patternType="solid">
        <fgColor rgb="FFDC2626"/>
        <bgColor rgb="FFDC2626"/>
      </patternFill>
    </fill>
    <fill>
      <patternFill patternType="solid">
        <fgColor rgb="FF0369A1"/>
        <bgColor rgb="FF0369A1"/>
      </patternFill>
    </fill>
    <fill>
      <patternFill patternType="solid">
        <fgColor rgb="FF7E22CE"/>
        <bgColor rgb="FF7E22CE"/>
      </patternFill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  <fill>
      <patternFill patternType="solid">
        <fgColor rgb="FFF0FDFA"/>
        <bgColor rgb="FFF0FDFA"/>
      </patternFill>
    </fill>
    <fill>
      <patternFill patternType="solid">
        <fgColor rgb="FFFEF2F2"/>
        <bgColor rgb="FFFEF2F2"/>
      </patternFill>
    </fill>
    <fill>
      <patternFill patternType="solid">
        <fgColor rgb="FFECFDF5"/>
        <bgColor rgb="FFECFDF5"/>
      </patternFill>
    </fill>
  </fills>
  <borders count="11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/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B2A4A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D737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2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0" fontId="5" numFmtId="1" xfId="0" applyAlignment="1" applyBorder="1" applyFont="1" applyNumberFormat="1">
      <alignment horizontal="center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0" fontId="9" numFmtId="164" xfId="0" applyAlignment="1" applyBorder="1" applyFont="1" applyNumberFormat="1">
      <alignment horizontal="center" shrinkToFit="0" vertical="center" wrapText="1"/>
    </xf>
    <xf borderId="1" fillId="0" fontId="10" numFmtId="1" xfId="0" applyAlignment="1" applyBorder="1" applyFont="1" applyNumberFormat="1">
      <alignment horizontal="center" shrinkToFit="0" vertical="center" wrapText="1"/>
    </xf>
    <xf borderId="1" fillId="0" fontId="11" numFmtId="164" xfId="0" applyAlignment="1" applyBorder="1" applyFont="1" applyNumberFormat="1">
      <alignment horizontal="center" shrinkToFit="0" vertical="center" wrapText="1"/>
    </xf>
    <xf borderId="1" fillId="0" fontId="12" numFmtId="164" xfId="0" applyAlignment="1" applyBorder="1" applyFont="1" applyNumberForma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1" fillId="0" fontId="13" numFmtId="1" xfId="0" applyAlignment="1" applyBorder="1" applyFont="1" applyNumberFormat="1">
      <alignment horizontal="center" shrinkToFit="0" vertical="center" wrapText="1"/>
    </xf>
    <xf borderId="1" fillId="0" fontId="14" numFmtId="1" xfId="0" applyAlignment="1" applyBorder="1" applyFont="1" applyNumberFormat="1">
      <alignment horizontal="center" shrinkToFit="0" vertical="center" wrapText="1"/>
    </xf>
    <xf borderId="1" fillId="0" fontId="15" numFmtId="164" xfId="0" applyAlignment="1" applyBorder="1" applyFont="1" applyNumberFormat="1">
      <alignment horizontal="center" shrinkToFit="0" vertical="center" wrapText="1"/>
    </xf>
    <xf borderId="1" fillId="0" fontId="16" numFmtId="165" xfId="0" applyAlignment="1" applyBorder="1" applyFont="1" applyNumberFormat="1">
      <alignment horizontal="center" shrinkToFit="0" vertical="center" wrapText="1"/>
    </xf>
    <xf borderId="2" fillId="14" fontId="17" numFmtId="0" xfId="0" applyAlignment="1" applyBorder="1" applyFill="1" applyFont="1">
      <alignment vertical="bottom"/>
    </xf>
    <xf borderId="3" fillId="0" fontId="18" numFmtId="0" xfId="0" applyBorder="1" applyFont="1"/>
    <xf borderId="4" fillId="0" fontId="18" numFmtId="0" xfId="0" applyBorder="1" applyFont="1"/>
    <xf borderId="2" fillId="15" fontId="19" numFmtId="0" xfId="0" applyAlignment="1" applyBorder="1" applyFill="1" applyFont="1">
      <alignment shrinkToFit="0" vertical="center" wrapText="1"/>
    </xf>
    <xf borderId="2" fillId="0" fontId="19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vertical="center"/>
    </xf>
    <xf borderId="0" fillId="0" fontId="20" numFmtId="0" xfId="0" applyAlignment="1" applyFont="1">
      <alignment horizontal="center" vertical="bottom"/>
    </xf>
    <xf borderId="5" fillId="2" fontId="4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1" fillId="0" fontId="22" numFmtId="165" xfId="0" applyAlignment="1" applyBorder="1" applyFont="1" applyNumberFormat="1">
      <alignment horizontal="center" shrinkToFit="0" vertical="center" wrapText="1"/>
    </xf>
    <xf borderId="1" fillId="0" fontId="22" numFmtId="164" xfId="0" applyAlignment="1" applyBorder="1" applyFont="1" applyNumberFormat="1">
      <alignment horizontal="center" shrinkToFit="0" vertical="center" wrapText="1"/>
    </xf>
    <xf borderId="1" fillId="0" fontId="21" numFmtId="165" xfId="0" applyAlignment="1" applyBorder="1" applyFont="1" applyNumberFormat="1">
      <alignment horizontal="center" shrinkToFit="0" vertical="center" wrapText="1"/>
    </xf>
    <xf borderId="1" fillId="0" fontId="22" numFmtId="166" xfId="0" applyAlignment="1" applyBorder="1" applyFont="1" applyNumberFormat="1">
      <alignment horizontal="center" readingOrder="0" shrinkToFit="0" vertical="center" wrapText="1"/>
    </xf>
    <xf borderId="1" fillId="0" fontId="21" numFmtId="1" xfId="0" applyAlignment="1" applyBorder="1" applyFont="1" applyNumberFormat="1">
      <alignment horizontal="center" shrinkToFit="0" vertical="center" wrapText="1"/>
    </xf>
    <xf borderId="1" fillId="0" fontId="22" numFmtId="1" xfId="0" applyAlignment="1" applyBorder="1" applyFont="1" applyNumberFormat="1">
      <alignment horizontal="center" shrinkToFit="0" vertical="center" wrapText="1"/>
    </xf>
    <xf borderId="1" fillId="0" fontId="21" numFmtId="164" xfId="0" applyAlignment="1" applyBorder="1" applyFont="1" applyNumberFormat="1">
      <alignment horizontal="center" shrinkToFit="0" vertical="center" wrapText="1"/>
    </xf>
    <xf borderId="1" fillId="15" fontId="21" numFmtId="0" xfId="0" applyAlignment="1" applyBorder="1" applyFont="1">
      <alignment horizontal="center" shrinkToFit="0" vertical="center" wrapText="1"/>
    </xf>
    <xf borderId="1" fillId="15" fontId="22" numFmtId="0" xfId="0" applyAlignment="1" applyBorder="1" applyFont="1">
      <alignment horizontal="center" readingOrder="0" shrinkToFit="0" vertical="center" wrapText="1"/>
    </xf>
    <xf borderId="1" fillId="15" fontId="22" numFmtId="0" xfId="0" applyAlignment="1" applyBorder="1" applyFont="1">
      <alignment horizontal="center" shrinkToFit="0" vertical="center" wrapText="1"/>
    </xf>
    <xf borderId="1" fillId="15" fontId="22" numFmtId="165" xfId="0" applyAlignment="1" applyBorder="1" applyFont="1" applyNumberFormat="1">
      <alignment horizontal="center" readingOrder="0" shrinkToFit="0" vertical="center" wrapText="1"/>
    </xf>
    <xf borderId="1" fillId="15" fontId="22" numFmtId="164" xfId="0" applyAlignment="1" applyBorder="1" applyFont="1" applyNumberFormat="1">
      <alignment horizontal="center" readingOrder="0" shrinkToFit="0" vertical="center" wrapText="1"/>
    </xf>
    <xf borderId="1" fillId="15" fontId="21" numFmtId="165" xfId="0" applyAlignment="1" applyBorder="1" applyFont="1" applyNumberFormat="1">
      <alignment horizontal="center" shrinkToFit="0" vertical="center" wrapText="1"/>
    </xf>
    <xf borderId="1" fillId="15" fontId="22" numFmtId="167" xfId="0" applyAlignment="1" applyBorder="1" applyFont="1" applyNumberFormat="1">
      <alignment horizontal="center" readingOrder="0" shrinkToFit="0" vertical="center" wrapText="1"/>
    </xf>
    <xf borderId="1" fillId="15" fontId="21" numFmtId="1" xfId="0" applyAlignment="1" applyBorder="1" applyFont="1" applyNumberFormat="1">
      <alignment horizontal="center" shrinkToFit="0" vertical="center" wrapText="1"/>
    </xf>
    <xf borderId="1" fillId="15" fontId="22" numFmtId="1" xfId="0" applyAlignment="1" applyBorder="1" applyFont="1" applyNumberFormat="1">
      <alignment horizontal="center" shrinkToFit="0" vertical="center" wrapText="1"/>
    </xf>
    <xf borderId="1" fillId="15" fontId="21" numFmtId="164" xfId="0" applyAlignment="1" applyBorder="1" applyFont="1" applyNumberForma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2" numFmtId="165" xfId="0" applyAlignment="1" applyBorder="1" applyFont="1" applyNumberFormat="1">
      <alignment horizontal="center" readingOrder="0" shrinkToFit="0" vertical="center" wrapText="1"/>
    </xf>
    <xf borderId="1" fillId="0" fontId="22" numFmtId="164" xfId="0" applyAlignment="1" applyBorder="1" applyFont="1" applyNumberFormat="1">
      <alignment horizontal="center" readingOrder="0" shrinkToFit="0" vertical="center" wrapText="1"/>
    </xf>
    <xf borderId="1" fillId="0" fontId="22" numFmtId="167" xfId="0" applyAlignment="1" applyBorder="1" applyFont="1" applyNumberFormat="1">
      <alignment horizontal="center" readingOrder="0" shrinkToFit="0" vertical="center" wrapText="1"/>
    </xf>
    <xf borderId="1" fillId="15" fontId="22" numFmtId="168" xfId="0" applyAlignment="1" applyBorder="1" applyFont="1" applyNumberFormat="1">
      <alignment horizontal="center" readingOrder="0" shrinkToFit="0" vertical="center" wrapText="1"/>
    </xf>
    <xf borderId="1" fillId="15" fontId="22" numFmtId="166" xfId="0" applyAlignment="1" applyBorder="1" applyFont="1" applyNumberFormat="1">
      <alignment horizontal="center" readingOrder="0" shrinkToFit="0" vertical="center" wrapText="1"/>
    </xf>
    <xf borderId="1" fillId="0" fontId="22" numFmtId="166" xfId="0" applyAlignment="1" applyBorder="1" applyFont="1" applyNumberFormat="1">
      <alignment horizontal="center" shrinkToFit="0" vertical="center" wrapText="1"/>
    </xf>
    <xf borderId="1" fillId="15" fontId="22" numFmtId="165" xfId="0" applyAlignment="1" applyBorder="1" applyFont="1" applyNumberFormat="1">
      <alignment horizontal="center" shrinkToFit="0" vertical="center" wrapText="1"/>
    </xf>
    <xf borderId="1" fillId="15" fontId="22" numFmtId="164" xfId="0" applyAlignment="1" applyBorder="1" applyFont="1" applyNumberFormat="1">
      <alignment horizontal="center" shrinkToFit="0" vertical="center" wrapText="1"/>
    </xf>
    <xf borderId="1" fillId="15" fontId="22" numFmtId="166" xfId="0" applyAlignment="1" applyBorder="1" applyFont="1" applyNumberFormat="1">
      <alignment horizontal="center" shrinkToFit="0" vertical="center" wrapText="1"/>
    </xf>
    <xf borderId="6" fillId="14" fontId="17" numFmtId="0" xfId="0" applyAlignment="1" applyBorder="1" applyFont="1">
      <alignment vertical="bottom"/>
    </xf>
    <xf borderId="7" fillId="0" fontId="18" numFmtId="0" xfId="0" applyBorder="1" applyFont="1"/>
    <xf borderId="8" fillId="0" fontId="18" numFmtId="0" xfId="0" applyBorder="1" applyFont="1"/>
    <xf borderId="2" fillId="15" fontId="23" numFmtId="0" xfId="0" applyAlignment="1" applyBorder="1" applyFont="1">
      <alignment horizontal="right" vertical="center"/>
    </xf>
    <xf borderId="1" fillId="0" fontId="24" numFmtId="1" xfId="0" applyAlignment="1" applyBorder="1" applyFont="1" applyNumberFormat="1">
      <alignment horizontal="center" vertical="center"/>
    </xf>
    <xf borderId="2" fillId="0" fontId="23" numFmtId="0" xfId="0" applyAlignment="1" applyBorder="1" applyFont="1">
      <alignment horizontal="right" vertical="center"/>
    </xf>
    <xf borderId="1" fillId="0" fontId="24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9" fillId="4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1" fillId="0" fontId="25" numFmtId="0" xfId="0" applyAlignment="1" applyBorder="1" applyFont="1">
      <alignment horizontal="center" shrinkToFit="0" vertical="center" wrapText="1"/>
    </xf>
    <xf borderId="1" fillId="0" fontId="22" numFmtId="169" xfId="0" applyAlignment="1" applyBorder="1" applyFont="1" applyNumberFormat="1">
      <alignment horizontal="center" readingOrder="0" shrinkToFit="0" vertical="center" wrapText="1"/>
    </xf>
    <xf borderId="1" fillId="0" fontId="25" numFmtId="164" xfId="0" applyAlignment="1" applyBorder="1" applyFont="1" applyNumberFormat="1">
      <alignment horizontal="center" shrinkToFit="0" vertical="center" wrapText="1"/>
    </xf>
    <xf borderId="1" fillId="0" fontId="22" numFmtId="170" xfId="0" applyAlignment="1" applyBorder="1" applyFont="1" applyNumberFormat="1">
      <alignment horizontal="center" readingOrder="0" shrinkToFit="0" vertical="center" wrapText="1"/>
    </xf>
    <xf borderId="1" fillId="16" fontId="21" numFmtId="168" xfId="0" applyAlignment="1" applyBorder="1" applyFill="1" applyFont="1" applyNumberFormat="1">
      <alignment horizontal="center" readingOrder="0" shrinkToFit="0" vertical="center" wrapText="1"/>
    </xf>
    <xf borderId="1" fillId="0" fontId="21" numFmtId="164" xfId="0" applyAlignment="1" applyBorder="1" applyFont="1" applyNumberFormat="1">
      <alignment horizontal="center" readingOrder="0" shrinkToFit="0" vertical="center" wrapText="1"/>
    </xf>
    <xf borderId="1" fillId="0" fontId="22" numFmtId="0" xfId="0" applyAlignment="1" applyBorder="1" applyFont="1">
      <alignment horizontal="left" shrinkToFit="0" vertical="center" wrapText="1"/>
    </xf>
    <xf borderId="0" fillId="0" fontId="2" numFmtId="164" xfId="0" applyAlignment="1" applyFont="1" applyNumberFormat="1">
      <alignment vertical="bottom"/>
    </xf>
    <xf borderId="1" fillId="16" fontId="21" numFmtId="0" xfId="0" applyAlignment="1" applyBorder="1" applyFont="1">
      <alignment horizontal="center" shrinkToFit="0" vertical="center" wrapText="1"/>
    </xf>
    <xf borderId="1" fillId="16" fontId="22" numFmtId="0" xfId="0" applyAlignment="1" applyBorder="1" applyFont="1">
      <alignment horizontal="center" readingOrder="0" shrinkToFit="0" vertical="center" wrapText="1"/>
    </xf>
    <xf borderId="1" fillId="16" fontId="25" numFmtId="0" xfId="0" applyAlignment="1" applyBorder="1" applyFont="1">
      <alignment horizontal="center" shrinkToFit="0" vertical="center" wrapText="1"/>
    </xf>
    <xf borderId="1" fillId="16" fontId="22" numFmtId="169" xfId="0" applyAlignment="1" applyBorder="1" applyFont="1" applyNumberFormat="1">
      <alignment horizontal="center" readingOrder="0" shrinkToFit="0" vertical="center" wrapText="1"/>
    </xf>
    <xf borderId="1" fillId="16" fontId="22" numFmtId="166" xfId="0" applyAlignment="1" applyBorder="1" applyFont="1" applyNumberFormat="1">
      <alignment horizontal="center" shrinkToFit="0" vertical="center" wrapText="1"/>
    </xf>
    <xf borderId="1" fillId="16" fontId="25" numFmtId="164" xfId="0" applyAlignment="1" applyBorder="1" applyFont="1" applyNumberFormat="1">
      <alignment horizontal="center" shrinkToFit="0" vertical="center" wrapText="1"/>
    </xf>
    <xf borderId="1" fillId="16" fontId="22" numFmtId="164" xfId="0" applyAlignment="1" applyBorder="1" applyFont="1" applyNumberFormat="1">
      <alignment horizontal="center" shrinkToFit="0" vertical="center" wrapText="1"/>
    </xf>
    <xf borderId="1" fillId="16" fontId="22" numFmtId="170" xfId="0" applyAlignment="1" applyBorder="1" applyFont="1" applyNumberFormat="1">
      <alignment horizontal="center" readingOrder="0" shrinkToFit="0" vertical="center" wrapText="1"/>
    </xf>
    <xf borderId="1" fillId="16" fontId="21" numFmtId="164" xfId="0" applyAlignment="1" applyBorder="1" applyFont="1" applyNumberFormat="1">
      <alignment horizontal="center" readingOrder="0" shrinkToFit="0" vertical="center" wrapText="1"/>
    </xf>
    <xf borderId="1" fillId="16" fontId="22" numFmtId="0" xfId="0" applyAlignment="1" applyBorder="1" applyFont="1">
      <alignment horizontal="left" shrinkToFit="0" vertical="center" wrapText="1"/>
    </xf>
    <xf borderId="1" fillId="16" fontId="22" numFmtId="164" xfId="0" applyAlignment="1" applyBorder="1" applyFont="1" applyNumberFormat="1">
      <alignment horizontal="center" readingOrder="0" shrinkToFit="0" vertical="center" wrapText="1"/>
    </xf>
    <xf borderId="1" fillId="0" fontId="21" numFmtId="168" xfId="0" applyAlignment="1" applyBorder="1" applyFont="1" applyNumberFormat="1">
      <alignment horizontal="center" readingOrder="0" shrinkToFit="0" vertical="center" wrapText="1"/>
    </xf>
    <xf borderId="1" fillId="0" fontId="22" numFmtId="170" xfId="0" applyAlignment="1" applyBorder="1" applyFont="1" applyNumberFormat="1">
      <alignment horizontal="center" shrinkToFit="0" vertical="center" wrapText="1"/>
    </xf>
    <xf borderId="1" fillId="16" fontId="22" numFmtId="170" xfId="0" applyAlignment="1" applyBorder="1" applyFont="1" applyNumberFormat="1">
      <alignment horizontal="center" shrinkToFit="0" vertical="center" wrapText="1"/>
    </xf>
    <xf borderId="1" fillId="16" fontId="21" numFmtId="168" xfId="0" applyAlignment="1" applyBorder="1" applyFont="1" applyNumberFormat="1">
      <alignment horizontal="center" shrinkToFit="0" vertical="center" wrapText="1"/>
    </xf>
    <xf borderId="1" fillId="0" fontId="21" numFmtId="168" xfId="0" applyAlignment="1" applyBorder="1" applyFont="1" applyNumberFormat="1">
      <alignment horizontal="center" shrinkToFit="0" vertical="center" wrapText="1"/>
    </xf>
    <xf borderId="1" fillId="16" fontId="22" numFmtId="0" xfId="0" applyAlignment="1" applyBorder="1" applyFont="1">
      <alignment horizontal="center" shrinkToFit="0" vertical="center" wrapText="1"/>
    </xf>
    <xf borderId="1" fillId="16" fontId="21" numFmtId="164" xfId="0" applyAlignment="1" applyBorder="1" applyFont="1" applyNumberFormat="1">
      <alignment horizontal="center" shrinkToFit="0" vertical="center" wrapText="1"/>
    </xf>
    <xf borderId="0" fillId="0" fontId="26" numFmtId="0" xfId="0" applyFont="1"/>
    <xf borderId="1" fillId="16" fontId="21" numFmtId="1" xfId="0" applyAlignment="1" applyBorder="1" applyFont="1" applyNumberFormat="1">
      <alignment horizontal="center" shrinkToFit="0" vertical="center" wrapText="1"/>
    </xf>
    <xf borderId="6" fillId="14" fontId="27" numFmtId="0" xfId="0" applyAlignment="1" applyBorder="1" applyFont="1">
      <alignment vertical="bottom"/>
    </xf>
    <xf borderId="1" fillId="0" fontId="28" numFmtId="164" xfId="0" applyAlignment="1" applyBorder="1" applyFont="1" applyNumberFormat="1">
      <alignment horizontal="center" shrinkToFit="0" vertical="center" wrapText="1"/>
    </xf>
    <xf borderId="1" fillId="0" fontId="28" numFmtId="1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5" fillId="7" fontId="4" numFmtId="0" xfId="0" applyAlignment="1" applyBorder="1" applyFont="1">
      <alignment horizontal="center" shrinkToFit="0" vertical="center" wrapText="1"/>
    </xf>
    <xf borderId="1" fillId="0" fontId="22" numFmtId="1" xfId="0" applyAlignment="1" applyBorder="1" applyFont="1" applyNumberFormat="1">
      <alignment horizontal="center" readingOrder="0" shrinkToFit="0" vertical="center" wrapText="1"/>
    </xf>
    <xf borderId="1" fillId="17" fontId="22" numFmtId="1" xfId="0" applyAlignment="1" applyBorder="1" applyFill="1" applyFont="1" applyNumberFormat="1">
      <alignment horizontal="center" readingOrder="0" shrinkToFit="0" vertical="center" wrapText="1"/>
    </xf>
    <xf borderId="1" fillId="17" fontId="22" numFmtId="0" xfId="0" applyAlignment="1" applyBorder="1" applyFont="1">
      <alignment horizontal="center" readingOrder="0" shrinkToFit="0" vertical="center" wrapText="1"/>
    </xf>
    <xf borderId="1" fillId="17" fontId="22" numFmtId="0" xfId="0" applyAlignment="1" applyBorder="1" applyFont="1">
      <alignment horizontal="center" shrinkToFit="0" vertical="center" wrapText="1"/>
    </xf>
    <xf borderId="1" fillId="17" fontId="22" numFmtId="166" xfId="0" applyAlignment="1" applyBorder="1" applyFont="1" applyNumberFormat="1">
      <alignment horizontal="center" readingOrder="0" shrinkToFit="0" vertical="center" wrapText="1"/>
    </xf>
    <xf borderId="1" fillId="17" fontId="22" numFmtId="164" xfId="0" applyAlignment="1" applyBorder="1" applyFont="1" applyNumberForma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17" fontId="22" numFmtId="1" xfId="0" applyAlignment="1" applyBorder="1" applyFont="1" applyNumberFormat="1">
      <alignment horizontal="center" shrinkToFit="0" vertical="center" wrapText="1"/>
    </xf>
    <xf borderId="1" fillId="17" fontId="22" numFmtId="166" xfId="0" applyAlignment="1" applyBorder="1" applyFont="1" applyNumberFormat="1">
      <alignment horizontal="center" shrinkToFit="0" vertical="center" wrapText="1"/>
    </xf>
    <xf borderId="1" fillId="17" fontId="22" numFmtId="164" xfId="0" applyAlignment="1" applyBorder="1" applyFont="1" applyNumberFormat="1">
      <alignment horizontal="center" shrinkToFit="0" vertical="center" wrapText="1"/>
    </xf>
    <xf borderId="6" fillId="9" fontId="29" numFmtId="0" xfId="0" applyAlignment="1" applyBorder="1" applyFont="1">
      <alignment horizontal="center" vertical="center"/>
    </xf>
    <xf borderId="10" fillId="17" fontId="30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1" numFmtId="0" xfId="0" applyAlignment="1" applyFont="1">
      <alignment shrinkToFit="0" vertical="center" wrapText="1"/>
    </xf>
    <xf borderId="0" fillId="0" fontId="32" numFmtId="0" xfId="0" applyAlignment="1" applyFont="1">
      <alignment shrinkToFit="0" vertical="center" wrapText="1"/>
    </xf>
    <xf borderId="10" fillId="18" fontId="33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6">
    <dxf>
      <font>
        <b/>
        <color rgb="FF065F46"/>
      </font>
      <fill>
        <patternFill patternType="solid">
          <fgColor rgb="FFD1FAE5"/>
          <bgColor rgb="FFD1FAE5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374151"/>
      </font>
      <fill>
        <patternFill patternType="solid">
          <fgColor rgb="FFE5E7EB"/>
          <bgColor rgb="FFE5E7EB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9A3412"/>
      </font>
      <fill>
        <patternFill patternType="solid">
          <fgColor rgb="FFFED7AA"/>
          <bgColor rgb="FFFED7AA"/>
        </patternFill>
      </fill>
      <border/>
    </dxf>
    <dxf>
      <font>
        <b/>
        <color rgb="FF7F1D1D"/>
      </font>
      <fill>
        <patternFill patternType="solid">
          <fgColor rgb="FFFCA5A5"/>
          <bgColor rgb="FFFC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7A3A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3" width="8.71"/>
    <col customWidth="1" min="4" max="4" width="24.0"/>
    <col customWidth="1" min="5" max="5" width="8.71"/>
    <col customWidth="1" min="6" max="6" width="24.0"/>
    <col customWidth="1" min="7" max="7" width="8.71"/>
    <col customWidth="1" min="8" max="8" width="24.0"/>
    <col customWidth="1" min="9" max="10" width="8.71"/>
  </cols>
  <sheetData>
    <row r="1" ht="54.7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2.0" customHeight="1">
      <c r="A4" s="2"/>
      <c r="B4" s="4" t="s">
        <v>2</v>
      </c>
      <c r="C4" s="2"/>
      <c r="D4" s="5" t="s">
        <v>3</v>
      </c>
      <c r="E4" s="2"/>
      <c r="F4" s="6" t="s">
        <v>4</v>
      </c>
      <c r="G4" s="2"/>
      <c r="H4" s="7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75" customHeight="1">
      <c r="A5" s="2"/>
      <c r="B5" s="8">
        <f>COUNTIF('Loan Master'!R5:R52,"Active")</f>
        <v>20</v>
      </c>
      <c r="C5" s="2"/>
      <c r="D5" s="9">
        <f>SUMPRODUCT(1*('Loan Master'!R5:R52="Active"),'Loan Master'!I5:I52)</f>
        <v>2100000</v>
      </c>
      <c r="E5" s="2"/>
      <c r="F5" s="10">
        <f>SUMPRODUCT(1*('Loan Master'!R5:R52="Active"),'Loan Master'!O5:O52)</f>
        <v>36250</v>
      </c>
      <c r="G5" s="2"/>
      <c r="H5" s="11">
        <f>SUMPRODUCT(1*('Loan Master'!R5:R52="Active"),'Loan Master'!Q5:Q52)</f>
        <v>33250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2.0" customHeight="1">
      <c r="A7" s="2"/>
      <c r="B7" s="12" t="s">
        <v>6</v>
      </c>
      <c r="C7" s="2"/>
      <c r="D7" s="13" t="s">
        <v>7</v>
      </c>
      <c r="E7" s="2"/>
      <c r="F7" s="14" t="s">
        <v>8</v>
      </c>
      <c r="G7" s="2"/>
      <c r="H7" s="15" t="s">
        <v>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.75" customHeight="1">
      <c r="A8" s="2"/>
      <c r="B8" s="16">
        <f>SUMPRODUCT(1*('Loan Master'!R5:R52="Active"),'Loan Master'!P5:P52)</f>
        <v>3000</v>
      </c>
      <c r="C8" s="2"/>
      <c r="D8" s="17">
        <f>COUNTIF('Monthly Interest Tracker'!K5:K501,"Overdue")</f>
        <v>0</v>
      </c>
      <c r="E8" s="2"/>
      <c r="F8" s="18">
        <f>SUM('Monthly Interest Tracker'!I5:I501)</f>
        <v>37500</v>
      </c>
      <c r="G8" s="2"/>
      <c r="H8" s="19">
        <f>SUM('Monthly Interest Tracker'!K5:K501)</f>
        <v>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2.0" customHeight="1">
      <c r="A10" s="2"/>
      <c r="B10" s="20" t="s">
        <v>10</v>
      </c>
      <c r="C10" s="2"/>
      <c r="D10" s="21" t="s">
        <v>11</v>
      </c>
      <c r="E10" s="2"/>
      <c r="F10" s="22" t="s">
        <v>12</v>
      </c>
      <c r="G10" s="2"/>
      <c r="H10" s="23" t="s">
        <v>13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4.75" customHeight="1">
      <c r="A11" s="2"/>
      <c r="B11" s="24">
        <f>COUNTIF('Loan Master'!R5:R52,"Closed")</f>
        <v>0</v>
      </c>
      <c r="C11" s="2"/>
      <c r="D11" s="25">
        <f>COUNTIF('Loan Master'!R5:R52,"Defaulted")</f>
        <v>0</v>
      </c>
      <c r="E11" s="2"/>
      <c r="F11" s="26">
        <f>H5*12</f>
        <v>399000</v>
      </c>
      <c r="G11" s="2"/>
      <c r="H11" s="27">
        <f>IFERROR(SUM('Monthly Interest Tracker'!G5:G501)/SUM('Monthly Interest Tracker'!F5:F501),0)</f>
        <v>0.07346938776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28" t="s">
        <v>14</v>
      </c>
      <c r="B13" s="29"/>
      <c r="C13" s="29"/>
      <c r="D13" s="29"/>
      <c r="E13" s="29"/>
      <c r="F13" s="29"/>
      <c r="G13" s="29"/>
      <c r="H13" s="29"/>
      <c r="I13" s="29"/>
      <c r="J13" s="3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31" t="s">
        <v>15</v>
      </c>
      <c r="B15" s="29"/>
      <c r="C15" s="29"/>
      <c r="D15" s="29"/>
      <c r="E15" s="29"/>
      <c r="F15" s="29"/>
      <c r="G15" s="29"/>
      <c r="H15" s="29"/>
      <c r="I15" s="29"/>
      <c r="J15" s="3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32" t="s">
        <v>16</v>
      </c>
      <c r="B16" s="29"/>
      <c r="C16" s="29"/>
      <c r="D16" s="29"/>
      <c r="E16" s="29"/>
      <c r="F16" s="29"/>
      <c r="G16" s="29"/>
      <c r="H16" s="29"/>
      <c r="I16" s="29"/>
      <c r="J16" s="2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31" t="s">
        <v>17</v>
      </c>
      <c r="B17" s="29"/>
      <c r="C17" s="29"/>
      <c r="D17" s="29"/>
      <c r="E17" s="29"/>
      <c r="F17" s="29"/>
      <c r="G17" s="29"/>
      <c r="H17" s="29"/>
      <c r="I17" s="29"/>
      <c r="J17" s="3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32" t="s">
        <v>18</v>
      </c>
      <c r="B18" s="29"/>
      <c r="C18" s="29"/>
      <c r="D18" s="29"/>
      <c r="E18" s="29"/>
      <c r="F18" s="29"/>
      <c r="G18" s="29"/>
      <c r="H18" s="29"/>
      <c r="I18" s="29"/>
      <c r="J18" s="2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31" t="s">
        <v>19</v>
      </c>
      <c r="B19" s="29"/>
      <c r="C19" s="29"/>
      <c r="D19" s="29"/>
      <c r="E19" s="29"/>
      <c r="F19" s="29"/>
      <c r="G19" s="29"/>
      <c r="H19" s="29"/>
      <c r="I19" s="29"/>
      <c r="J19" s="3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32" t="s">
        <v>20</v>
      </c>
      <c r="B20" s="29"/>
      <c r="C20" s="29"/>
      <c r="D20" s="29"/>
      <c r="E20" s="29"/>
      <c r="F20" s="29"/>
      <c r="G20" s="29"/>
      <c r="H20" s="29"/>
      <c r="I20" s="29"/>
      <c r="J20" s="2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31" t="s">
        <v>21</v>
      </c>
      <c r="B21" s="29"/>
      <c r="C21" s="29"/>
      <c r="D21" s="29"/>
      <c r="E21" s="29"/>
      <c r="F21" s="29"/>
      <c r="G21" s="29"/>
      <c r="H21" s="29"/>
      <c r="I21" s="29"/>
      <c r="J21" s="3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32" t="s">
        <v>22</v>
      </c>
      <c r="B22" s="29"/>
      <c r="C22" s="29"/>
      <c r="D22" s="29"/>
      <c r="E22" s="29"/>
      <c r="F22" s="29"/>
      <c r="G22" s="29"/>
      <c r="H22" s="29"/>
      <c r="I22" s="29"/>
      <c r="J22" s="2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31" t="s">
        <v>23</v>
      </c>
      <c r="B23" s="29"/>
      <c r="C23" s="29"/>
      <c r="D23" s="29"/>
      <c r="E23" s="29"/>
      <c r="F23" s="29"/>
      <c r="G23" s="29"/>
      <c r="H23" s="29"/>
      <c r="I23" s="29"/>
      <c r="J23" s="3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32" t="s">
        <v>24</v>
      </c>
      <c r="B24" s="29"/>
      <c r="C24" s="29"/>
      <c r="D24" s="29"/>
      <c r="E24" s="29"/>
      <c r="F24" s="29"/>
      <c r="G24" s="29"/>
      <c r="H24" s="29"/>
      <c r="I24" s="29"/>
      <c r="J24" s="29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19:J19"/>
    <mergeCell ref="A20:J20"/>
    <mergeCell ref="A21:J21"/>
    <mergeCell ref="A22:J22"/>
    <mergeCell ref="A23:J23"/>
    <mergeCell ref="A24:J24"/>
    <mergeCell ref="A1:J1"/>
    <mergeCell ref="A2:J2"/>
    <mergeCell ref="A13:J13"/>
    <mergeCell ref="A15:J15"/>
    <mergeCell ref="A16:J16"/>
    <mergeCell ref="A17:J17"/>
    <mergeCell ref="A18:J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22.0"/>
    <col customWidth="1" min="3" max="3" width="16.0"/>
    <col customWidth="1" min="4" max="4" width="22.0"/>
    <col customWidth="1" min="5" max="5" width="16.0"/>
    <col customWidth="1" min="6" max="6" width="18.0"/>
    <col customWidth="1" min="7" max="7" width="16.0"/>
    <col customWidth="1" min="8" max="8" width="14.0"/>
    <col customWidth="1" min="9" max="9" width="17.0"/>
    <col customWidth="1" min="10" max="12" width="14.0"/>
    <col customWidth="1" min="13" max="13" width="10.0"/>
    <col customWidth="1" min="14" max="14" width="12.0"/>
    <col customWidth="1" min="15" max="15" width="17.0"/>
    <col customWidth="1" min="16" max="17" width="16.0"/>
    <col customWidth="1" min="18" max="18" width="13.0"/>
    <col customWidth="1" min="19" max="19" width="25.0"/>
  </cols>
  <sheetData>
    <row r="1" ht="49.5" customHeight="1">
      <c r="A1" s="33" t="s">
        <v>25</v>
      </c>
      <c r="T1" s="2"/>
      <c r="U1" s="2"/>
      <c r="V1" s="2"/>
      <c r="W1" s="2"/>
      <c r="X1" s="2"/>
      <c r="Y1" s="2"/>
    </row>
    <row r="2" ht="15.0" customHeight="1">
      <c r="A2" s="34" t="s">
        <v>26</v>
      </c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45.0" customHeight="1">
      <c r="A4" s="35" t="s">
        <v>27</v>
      </c>
      <c r="B4" s="35" t="s">
        <v>28</v>
      </c>
      <c r="C4" s="35" t="s">
        <v>29</v>
      </c>
      <c r="D4" s="35" t="s">
        <v>30</v>
      </c>
      <c r="E4" s="35" t="s">
        <v>31</v>
      </c>
      <c r="F4" s="35" t="s">
        <v>32</v>
      </c>
      <c r="G4" s="35" t="s">
        <v>33</v>
      </c>
      <c r="H4" s="35" t="s">
        <v>34</v>
      </c>
      <c r="I4" s="35" t="s">
        <v>35</v>
      </c>
      <c r="J4" s="35" t="s">
        <v>36</v>
      </c>
      <c r="K4" s="35" t="s">
        <v>37</v>
      </c>
      <c r="L4" s="35" t="s">
        <v>38</v>
      </c>
      <c r="M4" s="35" t="s">
        <v>39</v>
      </c>
      <c r="N4" s="35" t="s">
        <v>40</v>
      </c>
      <c r="O4" s="35" t="s">
        <v>41</v>
      </c>
      <c r="P4" s="35" t="s">
        <v>42</v>
      </c>
      <c r="Q4" s="35" t="s">
        <v>43</v>
      </c>
      <c r="R4" s="35" t="s">
        <v>44</v>
      </c>
      <c r="S4" s="35" t="s">
        <v>45</v>
      </c>
      <c r="T4" s="2"/>
      <c r="U4" s="2"/>
      <c r="V4" s="2"/>
      <c r="W4" s="2"/>
      <c r="X4" s="2"/>
      <c r="Y4" s="2"/>
    </row>
    <row r="5" ht="15.0" customHeight="1">
      <c r="A5" s="36" t="str">
        <f t="shared" ref="A5:A52" si="1">IF(B5="","","L"&amp;TEXT(ROW()-4,"000"))</f>
        <v>L001</v>
      </c>
      <c r="B5" s="37" t="s">
        <v>46</v>
      </c>
      <c r="C5" s="37">
        <v>9.538422078E9</v>
      </c>
      <c r="D5" s="37" t="s">
        <v>47</v>
      </c>
      <c r="E5" s="37" t="s">
        <v>48</v>
      </c>
      <c r="F5" s="37"/>
      <c r="G5" s="37"/>
      <c r="H5" s="38"/>
      <c r="I5" s="39">
        <v>400000.0</v>
      </c>
      <c r="J5" s="38">
        <v>0.15</v>
      </c>
      <c r="K5" s="40">
        <f t="shared" ref="K5:K52" si="2">IF(J5="","",J5/12)</f>
        <v>0.0125</v>
      </c>
      <c r="L5" s="41">
        <v>46058.0</v>
      </c>
      <c r="M5" s="42">
        <f t="shared" ref="M5:M52" si="3">IF(L5="","",DAY(L5))</f>
        <v>5</v>
      </c>
      <c r="N5" s="43"/>
      <c r="O5" s="44">
        <f t="shared" ref="O5:O52" si="4">IF(OR(I5="",K5=""),"",I5*K5)</f>
        <v>5000</v>
      </c>
      <c r="P5" s="44">
        <f t="shared" ref="P5:P52" si="5">IF(E5="Through Mediator",IF(H5="",0,O5*H5),0)</f>
        <v>0</v>
      </c>
      <c r="Q5" s="44">
        <f t="shared" ref="Q5:Q52" si="6">IF(O5="","",O5-P5)</f>
        <v>5000</v>
      </c>
      <c r="R5" s="37" t="s">
        <v>49</v>
      </c>
      <c r="S5" s="37" t="s">
        <v>50</v>
      </c>
      <c r="T5" s="2"/>
      <c r="U5" s="2"/>
      <c r="V5" s="2"/>
      <c r="W5" s="2"/>
      <c r="X5" s="2"/>
      <c r="Y5" s="2"/>
    </row>
    <row r="6" ht="15.0" customHeight="1">
      <c r="A6" s="45" t="str">
        <f t="shared" si="1"/>
        <v>L002</v>
      </c>
      <c r="B6" s="46" t="s">
        <v>51</v>
      </c>
      <c r="C6" s="47"/>
      <c r="D6" s="46" t="s">
        <v>52</v>
      </c>
      <c r="E6" s="46" t="s">
        <v>53</v>
      </c>
      <c r="F6" s="46" t="s">
        <v>54</v>
      </c>
      <c r="G6" s="47"/>
      <c r="H6" s="48">
        <v>0.0</v>
      </c>
      <c r="I6" s="49">
        <v>50000.0</v>
      </c>
      <c r="J6" s="48">
        <v>0.24</v>
      </c>
      <c r="K6" s="50">
        <f t="shared" si="2"/>
        <v>0.02</v>
      </c>
      <c r="L6" s="51">
        <v>46066.0</v>
      </c>
      <c r="M6" s="52">
        <f t="shared" si="3"/>
        <v>13</v>
      </c>
      <c r="N6" s="53"/>
      <c r="O6" s="54">
        <f t="shared" si="4"/>
        <v>1000</v>
      </c>
      <c r="P6" s="54">
        <f t="shared" si="5"/>
        <v>0</v>
      </c>
      <c r="Q6" s="54">
        <f t="shared" si="6"/>
        <v>1000</v>
      </c>
      <c r="R6" s="37" t="s">
        <v>49</v>
      </c>
      <c r="S6" s="47"/>
      <c r="T6" s="2"/>
      <c r="U6" s="2"/>
      <c r="V6" s="2"/>
      <c r="W6" s="2"/>
      <c r="X6" s="2"/>
      <c r="Y6" s="2"/>
    </row>
    <row r="7" ht="15.0" customHeight="1">
      <c r="A7" s="36" t="str">
        <f t="shared" si="1"/>
        <v>L003</v>
      </c>
      <c r="B7" s="55" t="s">
        <v>55</v>
      </c>
      <c r="C7" s="37"/>
      <c r="D7" s="46" t="s">
        <v>56</v>
      </c>
      <c r="E7" s="55" t="s">
        <v>53</v>
      </c>
      <c r="F7" s="55" t="s">
        <v>54</v>
      </c>
      <c r="G7" s="37"/>
      <c r="H7" s="56">
        <v>0.0</v>
      </c>
      <c r="I7" s="57">
        <v>50000.0</v>
      </c>
      <c r="J7" s="56">
        <v>0.24</v>
      </c>
      <c r="K7" s="40">
        <f t="shared" si="2"/>
        <v>0.02</v>
      </c>
      <c r="L7" s="58">
        <v>46064.0</v>
      </c>
      <c r="M7" s="42">
        <f t="shared" si="3"/>
        <v>11</v>
      </c>
      <c r="N7" s="43"/>
      <c r="O7" s="44">
        <f t="shared" si="4"/>
        <v>1000</v>
      </c>
      <c r="P7" s="44">
        <f t="shared" si="5"/>
        <v>0</v>
      </c>
      <c r="Q7" s="44">
        <f t="shared" si="6"/>
        <v>1000</v>
      </c>
      <c r="R7" s="37" t="s">
        <v>49</v>
      </c>
      <c r="S7" s="37"/>
      <c r="T7" s="2"/>
      <c r="U7" s="2"/>
      <c r="V7" s="2"/>
      <c r="W7" s="2"/>
      <c r="X7" s="2"/>
      <c r="Y7" s="2"/>
    </row>
    <row r="8" ht="15.0" customHeight="1">
      <c r="A8" s="45" t="str">
        <f t="shared" si="1"/>
        <v>L004</v>
      </c>
      <c r="B8" s="46" t="s">
        <v>57</v>
      </c>
      <c r="C8" s="47"/>
      <c r="D8" s="46" t="s">
        <v>56</v>
      </c>
      <c r="E8" s="46" t="s">
        <v>53</v>
      </c>
      <c r="F8" s="46" t="s">
        <v>54</v>
      </c>
      <c r="G8" s="47"/>
      <c r="H8" s="48">
        <v>0.0</v>
      </c>
      <c r="I8" s="49">
        <v>100000.0</v>
      </c>
      <c r="J8" s="48">
        <v>0.24</v>
      </c>
      <c r="K8" s="50">
        <f t="shared" si="2"/>
        <v>0.02</v>
      </c>
      <c r="L8" s="59">
        <v>46055.0</v>
      </c>
      <c r="M8" s="52">
        <f t="shared" si="3"/>
        <v>2</v>
      </c>
      <c r="N8" s="53"/>
      <c r="O8" s="54">
        <f t="shared" si="4"/>
        <v>2000</v>
      </c>
      <c r="P8" s="54">
        <f t="shared" si="5"/>
        <v>0</v>
      </c>
      <c r="Q8" s="54">
        <f t="shared" si="6"/>
        <v>2000</v>
      </c>
      <c r="R8" s="37" t="s">
        <v>49</v>
      </c>
      <c r="S8" s="47"/>
      <c r="T8" s="2"/>
      <c r="U8" s="2"/>
      <c r="V8" s="2"/>
      <c r="W8" s="2"/>
      <c r="X8" s="2"/>
      <c r="Y8" s="2"/>
    </row>
    <row r="9" ht="15.0" customHeight="1">
      <c r="A9" s="36" t="str">
        <f t="shared" si="1"/>
        <v>L005</v>
      </c>
      <c r="B9" s="55" t="s">
        <v>58</v>
      </c>
      <c r="C9" s="55">
        <v>8.500254814E9</v>
      </c>
      <c r="D9" s="55" t="s">
        <v>59</v>
      </c>
      <c r="E9" s="55" t="s">
        <v>53</v>
      </c>
      <c r="F9" s="55" t="s">
        <v>54</v>
      </c>
      <c r="G9" s="37"/>
      <c r="H9" s="56">
        <v>0.0</v>
      </c>
      <c r="I9" s="57">
        <v>50000.0</v>
      </c>
      <c r="J9" s="56">
        <v>0.24</v>
      </c>
      <c r="K9" s="40">
        <f t="shared" si="2"/>
        <v>0.02</v>
      </c>
      <c r="L9" s="41">
        <v>46069.0</v>
      </c>
      <c r="M9" s="42">
        <f t="shared" si="3"/>
        <v>16</v>
      </c>
      <c r="N9" s="43"/>
      <c r="O9" s="44">
        <f t="shared" si="4"/>
        <v>1000</v>
      </c>
      <c r="P9" s="44">
        <f t="shared" si="5"/>
        <v>0</v>
      </c>
      <c r="Q9" s="44">
        <f t="shared" si="6"/>
        <v>1000</v>
      </c>
      <c r="R9" s="37" t="s">
        <v>49</v>
      </c>
      <c r="S9" s="37"/>
      <c r="T9" s="2"/>
      <c r="U9" s="2"/>
      <c r="V9" s="2"/>
      <c r="W9" s="2"/>
      <c r="X9" s="2"/>
      <c r="Y9" s="2"/>
    </row>
    <row r="10" ht="15.0" customHeight="1">
      <c r="A10" s="45" t="str">
        <f t="shared" si="1"/>
        <v>L006</v>
      </c>
      <c r="B10" s="46" t="s">
        <v>60</v>
      </c>
      <c r="C10" s="46">
        <v>8.184914244E9</v>
      </c>
      <c r="D10" s="46" t="s">
        <v>52</v>
      </c>
      <c r="E10" s="46" t="s">
        <v>53</v>
      </c>
      <c r="F10" s="46" t="s">
        <v>54</v>
      </c>
      <c r="G10" s="47"/>
      <c r="H10" s="48">
        <v>0.0</v>
      </c>
      <c r="I10" s="49">
        <v>50000.0</v>
      </c>
      <c r="J10" s="48">
        <v>0.24</v>
      </c>
      <c r="K10" s="50">
        <f t="shared" si="2"/>
        <v>0.02</v>
      </c>
      <c r="L10" s="60">
        <v>46076.0</v>
      </c>
      <c r="M10" s="52">
        <f t="shared" si="3"/>
        <v>23</v>
      </c>
      <c r="N10" s="53"/>
      <c r="O10" s="54">
        <f t="shared" si="4"/>
        <v>1000</v>
      </c>
      <c r="P10" s="54">
        <f t="shared" si="5"/>
        <v>0</v>
      </c>
      <c r="Q10" s="54">
        <f t="shared" si="6"/>
        <v>1000</v>
      </c>
      <c r="R10" s="37" t="s">
        <v>49</v>
      </c>
      <c r="S10" s="47"/>
      <c r="T10" s="2"/>
      <c r="U10" s="2"/>
      <c r="V10" s="2"/>
      <c r="W10" s="2"/>
      <c r="X10" s="2"/>
      <c r="Y10" s="2"/>
    </row>
    <row r="11" ht="15.0" customHeight="1">
      <c r="A11" s="36" t="str">
        <f t="shared" si="1"/>
        <v>L007</v>
      </c>
      <c r="B11" s="55" t="s">
        <v>61</v>
      </c>
      <c r="C11" s="55"/>
      <c r="D11" s="55" t="s">
        <v>52</v>
      </c>
      <c r="E11" s="55" t="s">
        <v>53</v>
      </c>
      <c r="F11" s="55" t="s">
        <v>54</v>
      </c>
      <c r="G11" s="37"/>
      <c r="H11" s="56">
        <v>0.0</v>
      </c>
      <c r="I11" s="57">
        <v>100000.0</v>
      </c>
      <c r="J11" s="56">
        <v>0.24</v>
      </c>
      <c r="K11" s="40">
        <f t="shared" si="2"/>
        <v>0.02</v>
      </c>
      <c r="L11" s="41">
        <v>46056.0</v>
      </c>
      <c r="M11" s="42">
        <f t="shared" si="3"/>
        <v>3</v>
      </c>
      <c r="N11" s="43"/>
      <c r="O11" s="44">
        <f t="shared" si="4"/>
        <v>2000</v>
      </c>
      <c r="P11" s="44">
        <f t="shared" si="5"/>
        <v>0</v>
      </c>
      <c r="Q11" s="44">
        <f t="shared" si="6"/>
        <v>2000</v>
      </c>
      <c r="R11" s="37" t="s">
        <v>49</v>
      </c>
      <c r="S11" s="37"/>
      <c r="T11" s="2"/>
      <c r="U11" s="2"/>
      <c r="V11" s="2"/>
      <c r="W11" s="2"/>
      <c r="X11" s="2"/>
      <c r="Y11" s="2"/>
    </row>
    <row r="12" ht="15.0" customHeight="1">
      <c r="A12" s="45" t="str">
        <f t="shared" si="1"/>
        <v>L008</v>
      </c>
      <c r="B12" s="46" t="s">
        <v>61</v>
      </c>
      <c r="C12" s="47"/>
      <c r="D12" s="46" t="s">
        <v>52</v>
      </c>
      <c r="E12" s="55" t="s">
        <v>53</v>
      </c>
      <c r="F12" s="55" t="s">
        <v>54</v>
      </c>
      <c r="G12" s="47"/>
      <c r="H12" s="56">
        <v>0.0</v>
      </c>
      <c r="I12" s="49">
        <v>50000.0</v>
      </c>
      <c r="J12" s="48">
        <v>0.24</v>
      </c>
      <c r="K12" s="50">
        <f t="shared" si="2"/>
        <v>0.02</v>
      </c>
      <c r="L12" s="60">
        <v>46057.0</v>
      </c>
      <c r="M12" s="52">
        <f t="shared" si="3"/>
        <v>4</v>
      </c>
      <c r="N12" s="53"/>
      <c r="O12" s="54">
        <f t="shared" si="4"/>
        <v>1000</v>
      </c>
      <c r="P12" s="54">
        <f t="shared" si="5"/>
        <v>0</v>
      </c>
      <c r="Q12" s="54">
        <f t="shared" si="6"/>
        <v>1000</v>
      </c>
      <c r="R12" s="37" t="s">
        <v>49</v>
      </c>
      <c r="S12" s="47"/>
      <c r="T12" s="2"/>
      <c r="U12" s="2"/>
      <c r="V12" s="2"/>
      <c r="W12" s="2"/>
      <c r="X12" s="2"/>
      <c r="Y12" s="2"/>
    </row>
    <row r="13" ht="15.0" customHeight="1">
      <c r="A13" s="36" t="str">
        <f t="shared" si="1"/>
        <v>L009</v>
      </c>
      <c r="B13" s="55" t="s">
        <v>62</v>
      </c>
      <c r="C13" s="37"/>
      <c r="D13" s="55" t="s">
        <v>63</v>
      </c>
      <c r="E13" s="55" t="s">
        <v>53</v>
      </c>
      <c r="F13" s="55" t="s">
        <v>54</v>
      </c>
      <c r="G13" s="37"/>
      <c r="H13" s="56">
        <v>0.0</v>
      </c>
      <c r="I13" s="57">
        <v>50000.0</v>
      </c>
      <c r="J13" s="56">
        <v>0.24</v>
      </c>
      <c r="K13" s="40">
        <f t="shared" si="2"/>
        <v>0.02</v>
      </c>
      <c r="L13" s="41">
        <v>46062.0</v>
      </c>
      <c r="M13" s="42">
        <f t="shared" si="3"/>
        <v>9</v>
      </c>
      <c r="N13" s="43"/>
      <c r="O13" s="44">
        <f t="shared" si="4"/>
        <v>1000</v>
      </c>
      <c r="P13" s="44">
        <f t="shared" si="5"/>
        <v>0</v>
      </c>
      <c r="Q13" s="44">
        <f t="shared" si="6"/>
        <v>1000</v>
      </c>
      <c r="R13" s="37" t="s">
        <v>49</v>
      </c>
      <c r="S13" s="37"/>
      <c r="T13" s="2"/>
      <c r="U13" s="2"/>
      <c r="V13" s="2"/>
      <c r="W13" s="2"/>
      <c r="X13" s="2"/>
      <c r="Y13" s="2"/>
    </row>
    <row r="14" ht="15.0" customHeight="1">
      <c r="A14" s="45" t="str">
        <f t="shared" si="1"/>
        <v>L010</v>
      </c>
      <c r="B14" s="46" t="s">
        <v>64</v>
      </c>
      <c r="C14" s="47"/>
      <c r="D14" s="46" t="s">
        <v>59</v>
      </c>
      <c r="E14" s="46" t="s">
        <v>53</v>
      </c>
      <c r="F14" s="46" t="s">
        <v>65</v>
      </c>
      <c r="G14" s="47"/>
      <c r="H14" s="48">
        <v>0.0</v>
      </c>
      <c r="I14" s="49">
        <v>50000.0</v>
      </c>
      <c r="J14" s="48">
        <v>0.24</v>
      </c>
      <c r="K14" s="50">
        <f t="shared" si="2"/>
        <v>0.02</v>
      </c>
      <c r="L14" s="60">
        <v>46066.0</v>
      </c>
      <c r="M14" s="52">
        <f t="shared" si="3"/>
        <v>13</v>
      </c>
      <c r="N14" s="53"/>
      <c r="O14" s="54">
        <f t="shared" si="4"/>
        <v>1000</v>
      </c>
      <c r="P14" s="54">
        <f t="shared" si="5"/>
        <v>0</v>
      </c>
      <c r="Q14" s="54">
        <f t="shared" si="6"/>
        <v>1000</v>
      </c>
      <c r="R14" s="37" t="s">
        <v>49</v>
      </c>
      <c r="S14" s="47"/>
      <c r="T14" s="2"/>
      <c r="U14" s="2"/>
      <c r="V14" s="2"/>
      <c r="W14" s="2"/>
      <c r="X14" s="2"/>
      <c r="Y14" s="2"/>
    </row>
    <row r="15" ht="15.0" customHeight="1">
      <c r="A15" s="36" t="str">
        <f t="shared" si="1"/>
        <v>L011</v>
      </c>
      <c r="B15" s="55" t="s">
        <v>66</v>
      </c>
      <c r="C15" s="37"/>
      <c r="D15" s="37"/>
      <c r="E15" s="55" t="s">
        <v>53</v>
      </c>
      <c r="F15" s="46" t="s">
        <v>65</v>
      </c>
      <c r="G15" s="37"/>
      <c r="H15" s="56">
        <v>0.25</v>
      </c>
      <c r="I15" s="57">
        <v>200000.0</v>
      </c>
      <c r="J15" s="56">
        <v>0.24</v>
      </c>
      <c r="K15" s="40">
        <f t="shared" si="2"/>
        <v>0.02</v>
      </c>
      <c r="L15" s="41">
        <v>46070.0</v>
      </c>
      <c r="M15" s="42">
        <f t="shared" si="3"/>
        <v>17</v>
      </c>
      <c r="N15" s="43"/>
      <c r="O15" s="44">
        <f t="shared" si="4"/>
        <v>4000</v>
      </c>
      <c r="P15" s="44">
        <f t="shared" si="5"/>
        <v>1000</v>
      </c>
      <c r="Q15" s="44">
        <f t="shared" si="6"/>
        <v>3000</v>
      </c>
      <c r="R15" s="37" t="s">
        <v>49</v>
      </c>
      <c r="S15" s="37"/>
      <c r="T15" s="2"/>
      <c r="U15" s="2"/>
      <c r="V15" s="2"/>
      <c r="W15" s="2"/>
      <c r="X15" s="2"/>
      <c r="Y15" s="2"/>
    </row>
    <row r="16" ht="15.0" customHeight="1">
      <c r="A16" s="45" t="str">
        <f t="shared" si="1"/>
        <v>L012</v>
      </c>
      <c r="B16" s="46" t="s">
        <v>67</v>
      </c>
      <c r="C16" s="47"/>
      <c r="D16" s="47"/>
      <c r="E16" s="46" t="s">
        <v>53</v>
      </c>
      <c r="F16" s="46" t="s">
        <v>65</v>
      </c>
      <c r="G16" s="47"/>
      <c r="H16" s="48">
        <v>0.25</v>
      </c>
      <c r="I16" s="49">
        <v>200000.0</v>
      </c>
      <c r="J16" s="48">
        <v>0.24</v>
      </c>
      <c r="K16" s="50">
        <f t="shared" si="2"/>
        <v>0.02</v>
      </c>
      <c r="L16" s="60">
        <v>46081.0</v>
      </c>
      <c r="M16" s="52">
        <f t="shared" si="3"/>
        <v>28</v>
      </c>
      <c r="N16" s="53"/>
      <c r="O16" s="54">
        <f t="shared" si="4"/>
        <v>4000</v>
      </c>
      <c r="P16" s="54">
        <f t="shared" si="5"/>
        <v>1000</v>
      </c>
      <c r="Q16" s="54">
        <f t="shared" si="6"/>
        <v>3000</v>
      </c>
      <c r="R16" s="37" t="s">
        <v>49</v>
      </c>
      <c r="S16" s="47"/>
      <c r="T16" s="2"/>
      <c r="U16" s="2"/>
      <c r="V16" s="2"/>
      <c r="W16" s="2"/>
      <c r="X16" s="2"/>
      <c r="Y16" s="2"/>
    </row>
    <row r="17" ht="15.0" customHeight="1">
      <c r="A17" s="36" t="str">
        <f t="shared" si="1"/>
        <v>L013</v>
      </c>
      <c r="B17" s="55" t="s">
        <v>68</v>
      </c>
      <c r="C17" s="37"/>
      <c r="D17" s="37"/>
      <c r="E17" s="55" t="s">
        <v>53</v>
      </c>
      <c r="F17" s="46" t="s">
        <v>65</v>
      </c>
      <c r="G17" s="37"/>
      <c r="H17" s="56">
        <v>0.0</v>
      </c>
      <c r="I17" s="57">
        <v>50000.0</v>
      </c>
      <c r="J17" s="56">
        <v>0.24</v>
      </c>
      <c r="K17" s="40">
        <f t="shared" si="2"/>
        <v>0.02</v>
      </c>
      <c r="L17" s="41">
        <v>46081.0</v>
      </c>
      <c r="M17" s="42">
        <f t="shared" si="3"/>
        <v>28</v>
      </c>
      <c r="N17" s="43"/>
      <c r="O17" s="44">
        <f t="shared" si="4"/>
        <v>1000</v>
      </c>
      <c r="P17" s="44">
        <f t="shared" si="5"/>
        <v>0</v>
      </c>
      <c r="Q17" s="44">
        <f t="shared" si="6"/>
        <v>1000</v>
      </c>
      <c r="R17" s="37" t="s">
        <v>49</v>
      </c>
      <c r="S17" s="37"/>
      <c r="T17" s="2"/>
      <c r="U17" s="2"/>
      <c r="V17" s="2"/>
      <c r="W17" s="2"/>
      <c r="X17" s="2"/>
      <c r="Y17" s="2"/>
    </row>
    <row r="18" ht="15.0" customHeight="1">
      <c r="A18" s="45" t="str">
        <f t="shared" si="1"/>
        <v>L014</v>
      </c>
      <c r="B18" s="46" t="s">
        <v>69</v>
      </c>
      <c r="C18" s="47"/>
      <c r="D18" s="47"/>
      <c r="E18" s="46" t="s">
        <v>48</v>
      </c>
      <c r="F18" s="47"/>
      <c r="G18" s="47"/>
      <c r="H18" s="48">
        <v>0.0</v>
      </c>
      <c r="I18" s="49">
        <v>50000.0</v>
      </c>
      <c r="J18" s="48">
        <v>0.24</v>
      </c>
      <c r="K18" s="50">
        <f t="shared" si="2"/>
        <v>0.02</v>
      </c>
      <c r="L18" s="60">
        <v>46076.0</v>
      </c>
      <c r="M18" s="52">
        <f t="shared" si="3"/>
        <v>23</v>
      </c>
      <c r="N18" s="53"/>
      <c r="O18" s="54">
        <f t="shared" si="4"/>
        <v>1000</v>
      </c>
      <c r="P18" s="54">
        <f t="shared" si="5"/>
        <v>0</v>
      </c>
      <c r="Q18" s="54">
        <f t="shared" si="6"/>
        <v>1000</v>
      </c>
      <c r="R18" s="37" t="s">
        <v>49</v>
      </c>
      <c r="S18" s="47"/>
      <c r="T18" s="2"/>
      <c r="U18" s="2"/>
      <c r="V18" s="2"/>
      <c r="W18" s="2"/>
      <c r="X18" s="2"/>
      <c r="Y18" s="2"/>
    </row>
    <row r="19" ht="15.75" customHeight="1">
      <c r="A19" s="36" t="str">
        <f t="shared" si="1"/>
        <v>L015</v>
      </c>
      <c r="B19" s="55" t="s">
        <v>70</v>
      </c>
      <c r="C19" s="37"/>
      <c r="D19" s="55" t="s">
        <v>71</v>
      </c>
      <c r="E19" s="55" t="s">
        <v>48</v>
      </c>
      <c r="F19" s="37"/>
      <c r="G19" s="37"/>
      <c r="H19" s="56">
        <v>0.0</v>
      </c>
      <c r="I19" s="57">
        <v>50000.0</v>
      </c>
      <c r="J19" s="56">
        <v>0.18</v>
      </c>
      <c r="K19" s="40">
        <f t="shared" si="2"/>
        <v>0.015</v>
      </c>
      <c r="L19" s="41">
        <v>46058.0</v>
      </c>
      <c r="M19" s="42">
        <f t="shared" si="3"/>
        <v>5</v>
      </c>
      <c r="N19" s="43"/>
      <c r="O19" s="44">
        <f t="shared" si="4"/>
        <v>750</v>
      </c>
      <c r="P19" s="44">
        <f t="shared" si="5"/>
        <v>0</v>
      </c>
      <c r="Q19" s="44">
        <f t="shared" si="6"/>
        <v>750</v>
      </c>
      <c r="R19" s="55" t="s">
        <v>49</v>
      </c>
      <c r="S19" s="37"/>
      <c r="T19" s="2"/>
      <c r="U19" s="2"/>
      <c r="V19" s="2"/>
      <c r="W19" s="2"/>
      <c r="X19" s="2"/>
      <c r="Y19" s="2"/>
    </row>
    <row r="20" ht="15.75" customHeight="1">
      <c r="A20" s="45" t="str">
        <f t="shared" si="1"/>
        <v>L016</v>
      </c>
      <c r="B20" s="46" t="s">
        <v>64</v>
      </c>
      <c r="C20" s="47"/>
      <c r="D20" s="46" t="s">
        <v>59</v>
      </c>
      <c r="E20" s="46" t="s">
        <v>53</v>
      </c>
      <c r="F20" s="46" t="s">
        <v>72</v>
      </c>
      <c r="G20" s="47"/>
      <c r="H20" s="48">
        <v>0.0</v>
      </c>
      <c r="I20" s="49">
        <v>50000.0</v>
      </c>
      <c r="J20" s="48">
        <v>0.24</v>
      </c>
      <c r="K20" s="50">
        <f t="shared" si="2"/>
        <v>0.02</v>
      </c>
      <c r="L20" s="60">
        <v>46065.0</v>
      </c>
      <c r="M20" s="52">
        <f t="shared" si="3"/>
        <v>12</v>
      </c>
      <c r="N20" s="53"/>
      <c r="O20" s="54">
        <f t="shared" si="4"/>
        <v>1000</v>
      </c>
      <c r="P20" s="54">
        <f t="shared" si="5"/>
        <v>0</v>
      </c>
      <c r="Q20" s="54">
        <f t="shared" si="6"/>
        <v>1000</v>
      </c>
      <c r="R20" s="46" t="s">
        <v>49</v>
      </c>
      <c r="S20" s="47"/>
      <c r="T20" s="2"/>
      <c r="U20" s="2"/>
      <c r="V20" s="2"/>
      <c r="W20" s="2"/>
      <c r="X20" s="2"/>
      <c r="Y20" s="2"/>
    </row>
    <row r="21" ht="15.75" customHeight="1">
      <c r="A21" s="36" t="str">
        <f t="shared" si="1"/>
        <v>L017</v>
      </c>
      <c r="B21" s="55" t="s">
        <v>46</v>
      </c>
      <c r="C21" s="37">
        <v>9.538422078E9</v>
      </c>
      <c r="D21" s="55" t="s">
        <v>47</v>
      </c>
      <c r="E21" s="55" t="s">
        <v>48</v>
      </c>
      <c r="F21" s="37"/>
      <c r="G21" s="37"/>
      <c r="H21" s="56">
        <v>0.0</v>
      </c>
      <c r="I21" s="57">
        <v>300000.0</v>
      </c>
      <c r="J21" s="56">
        <v>0.15</v>
      </c>
      <c r="K21" s="40">
        <f t="shared" si="2"/>
        <v>0.0125</v>
      </c>
      <c r="L21" s="41">
        <v>46086.0</v>
      </c>
      <c r="M21" s="42">
        <f t="shared" si="3"/>
        <v>5</v>
      </c>
      <c r="N21" s="43"/>
      <c r="O21" s="44">
        <f t="shared" si="4"/>
        <v>3750</v>
      </c>
      <c r="P21" s="44">
        <f t="shared" si="5"/>
        <v>0</v>
      </c>
      <c r="Q21" s="44">
        <f t="shared" si="6"/>
        <v>3750</v>
      </c>
      <c r="R21" s="55" t="s">
        <v>49</v>
      </c>
      <c r="S21" s="37"/>
      <c r="T21" s="2"/>
      <c r="U21" s="2"/>
      <c r="V21" s="2"/>
      <c r="W21" s="2"/>
      <c r="X21" s="2"/>
      <c r="Y21" s="2"/>
    </row>
    <row r="22" ht="15.75" customHeight="1">
      <c r="A22" s="45" t="str">
        <f t="shared" si="1"/>
        <v>L018</v>
      </c>
      <c r="B22" s="46" t="s">
        <v>64</v>
      </c>
      <c r="C22" s="47"/>
      <c r="D22" s="46" t="s">
        <v>59</v>
      </c>
      <c r="E22" s="46" t="s">
        <v>53</v>
      </c>
      <c r="F22" s="46" t="s">
        <v>65</v>
      </c>
      <c r="G22" s="47"/>
      <c r="H22" s="48">
        <v>0.25</v>
      </c>
      <c r="I22" s="49">
        <v>100000.0</v>
      </c>
      <c r="J22" s="48">
        <v>0.24</v>
      </c>
      <c r="K22" s="50">
        <f t="shared" si="2"/>
        <v>0.02</v>
      </c>
      <c r="L22" s="60">
        <v>46085.0</v>
      </c>
      <c r="M22" s="52">
        <f t="shared" si="3"/>
        <v>4</v>
      </c>
      <c r="N22" s="53"/>
      <c r="O22" s="54">
        <f t="shared" si="4"/>
        <v>2000</v>
      </c>
      <c r="P22" s="54">
        <f t="shared" si="5"/>
        <v>500</v>
      </c>
      <c r="Q22" s="54">
        <f t="shared" si="6"/>
        <v>1500</v>
      </c>
      <c r="R22" s="46" t="s">
        <v>49</v>
      </c>
      <c r="S22" s="47"/>
      <c r="T22" s="2"/>
      <c r="U22" s="2"/>
      <c r="V22" s="2"/>
      <c r="W22" s="2"/>
      <c r="X22" s="2"/>
      <c r="Y22" s="2"/>
    </row>
    <row r="23" ht="15.75" customHeight="1">
      <c r="A23" s="36" t="str">
        <f t="shared" si="1"/>
        <v>L019</v>
      </c>
      <c r="B23" s="55" t="s">
        <v>70</v>
      </c>
      <c r="C23" s="37"/>
      <c r="D23" s="55" t="s">
        <v>71</v>
      </c>
      <c r="E23" s="55" t="s">
        <v>48</v>
      </c>
      <c r="F23" s="37"/>
      <c r="G23" s="37"/>
      <c r="H23" s="38"/>
      <c r="I23" s="57">
        <v>50000.0</v>
      </c>
      <c r="J23" s="56">
        <v>0.18</v>
      </c>
      <c r="K23" s="40">
        <f t="shared" si="2"/>
        <v>0.015</v>
      </c>
      <c r="L23" s="41">
        <v>46110.0</v>
      </c>
      <c r="M23" s="42">
        <f t="shared" si="3"/>
        <v>29</v>
      </c>
      <c r="N23" s="43"/>
      <c r="O23" s="44">
        <f t="shared" si="4"/>
        <v>750</v>
      </c>
      <c r="P23" s="44">
        <f t="shared" si="5"/>
        <v>0</v>
      </c>
      <c r="Q23" s="44">
        <f t="shared" si="6"/>
        <v>750</v>
      </c>
      <c r="R23" s="55" t="s">
        <v>49</v>
      </c>
      <c r="S23" s="37"/>
      <c r="T23" s="2"/>
      <c r="U23" s="2"/>
      <c r="V23" s="2"/>
      <c r="W23" s="2"/>
      <c r="X23" s="2"/>
      <c r="Y23" s="2"/>
    </row>
    <row r="24" ht="15.75" customHeight="1">
      <c r="A24" s="45" t="str">
        <f t="shared" si="1"/>
        <v>L020</v>
      </c>
      <c r="B24" s="46" t="s">
        <v>64</v>
      </c>
      <c r="C24" s="47"/>
      <c r="D24" s="46" t="s">
        <v>59</v>
      </c>
      <c r="E24" s="46" t="s">
        <v>53</v>
      </c>
      <c r="F24" s="46" t="s">
        <v>65</v>
      </c>
      <c r="G24" s="47"/>
      <c r="H24" s="48">
        <v>0.25</v>
      </c>
      <c r="I24" s="49">
        <v>100000.0</v>
      </c>
      <c r="J24" s="48">
        <v>0.24</v>
      </c>
      <c r="K24" s="50">
        <f t="shared" si="2"/>
        <v>0.02</v>
      </c>
      <c r="L24" s="60">
        <v>46119.0</v>
      </c>
      <c r="M24" s="52">
        <f t="shared" si="3"/>
        <v>7</v>
      </c>
      <c r="N24" s="53"/>
      <c r="O24" s="54">
        <f t="shared" si="4"/>
        <v>2000</v>
      </c>
      <c r="P24" s="54">
        <f t="shared" si="5"/>
        <v>500</v>
      </c>
      <c r="Q24" s="54">
        <f t="shared" si="6"/>
        <v>1500</v>
      </c>
      <c r="R24" s="46" t="s">
        <v>49</v>
      </c>
      <c r="S24" s="47"/>
      <c r="T24" s="2"/>
      <c r="U24" s="2"/>
      <c r="V24" s="2"/>
      <c r="W24" s="2"/>
      <c r="X24" s="2"/>
      <c r="Y24" s="2"/>
    </row>
    <row r="25" ht="15.75" customHeight="1">
      <c r="A25" s="36" t="str">
        <f t="shared" si="1"/>
        <v/>
      </c>
      <c r="B25" s="37"/>
      <c r="C25" s="37"/>
      <c r="D25" s="37"/>
      <c r="E25" s="37"/>
      <c r="F25" s="37"/>
      <c r="G25" s="37"/>
      <c r="H25" s="38"/>
      <c r="I25" s="39"/>
      <c r="J25" s="38"/>
      <c r="K25" s="40" t="str">
        <f t="shared" si="2"/>
        <v/>
      </c>
      <c r="L25" s="61"/>
      <c r="M25" s="42" t="str">
        <f t="shared" si="3"/>
        <v/>
      </c>
      <c r="N25" s="43"/>
      <c r="O25" s="44" t="str">
        <f t="shared" si="4"/>
        <v/>
      </c>
      <c r="P25" s="44">
        <f t="shared" si="5"/>
        <v>0</v>
      </c>
      <c r="Q25" s="44" t="str">
        <f t="shared" si="6"/>
        <v/>
      </c>
      <c r="R25" s="37"/>
      <c r="S25" s="37"/>
      <c r="T25" s="2"/>
      <c r="U25" s="2"/>
      <c r="V25" s="2"/>
      <c r="W25" s="2"/>
      <c r="X25" s="2"/>
      <c r="Y25" s="2"/>
    </row>
    <row r="26" ht="15.75" customHeight="1">
      <c r="A26" s="45" t="str">
        <f t="shared" si="1"/>
        <v/>
      </c>
      <c r="B26" s="47"/>
      <c r="C26" s="47"/>
      <c r="D26" s="47"/>
      <c r="E26" s="47"/>
      <c r="F26" s="47"/>
      <c r="G26" s="47"/>
      <c r="H26" s="62"/>
      <c r="I26" s="63"/>
      <c r="J26" s="62"/>
      <c r="K26" s="50" t="str">
        <f t="shared" si="2"/>
        <v/>
      </c>
      <c r="L26" s="64"/>
      <c r="M26" s="52" t="str">
        <f t="shared" si="3"/>
        <v/>
      </c>
      <c r="N26" s="53"/>
      <c r="O26" s="54" t="str">
        <f t="shared" si="4"/>
        <v/>
      </c>
      <c r="P26" s="54">
        <f t="shared" si="5"/>
        <v>0</v>
      </c>
      <c r="Q26" s="54" t="str">
        <f t="shared" si="6"/>
        <v/>
      </c>
      <c r="R26" s="47"/>
      <c r="S26" s="47"/>
      <c r="T26" s="2"/>
      <c r="U26" s="2"/>
      <c r="V26" s="2"/>
      <c r="W26" s="2"/>
      <c r="X26" s="2"/>
      <c r="Y26" s="2"/>
    </row>
    <row r="27" ht="15.75" customHeight="1">
      <c r="A27" s="36" t="str">
        <f t="shared" si="1"/>
        <v/>
      </c>
      <c r="B27" s="37"/>
      <c r="C27" s="37"/>
      <c r="D27" s="37"/>
      <c r="E27" s="37"/>
      <c r="F27" s="37"/>
      <c r="G27" s="37"/>
      <c r="H27" s="38"/>
      <c r="I27" s="39"/>
      <c r="J27" s="38"/>
      <c r="K27" s="40" t="str">
        <f t="shared" si="2"/>
        <v/>
      </c>
      <c r="L27" s="61"/>
      <c r="M27" s="42" t="str">
        <f t="shared" si="3"/>
        <v/>
      </c>
      <c r="N27" s="43"/>
      <c r="O27" s="44" t="str">
        <f t="shared" si="4"/>
        <v/>
      </c>
      <c r="P27" s="44">
        <f t="shared" si="5"/>
        <v>0</v>
      </c>
      <c r="Q27" s="44" t="str">
        <f t="shared" si="6"/>
        <v/>
      </c>
      <c r="R27" s="37"/>
      <c r="S27" s="37"/>
      <c r="T27" s="2"/>
      <c r="U27" s="2"/>
      <c r="V27" s="2"/>
      <c r="W27" s="2"/>
      <c r="X27" s="2"/>
      <c r="Y27" s="2"/>
    </row>
    <row r="28" ht="15.75" customHeight="1">
      <c r="A28" s="45" t="str">
        <f t="shared" si="1"/>
        <v/>
      </c>
      <c r="B28" s="47"/>
      <c r="C28" s="47"/>
      <c r="D28" s="47"/>
      <c r="E28" s="47"/>
      <c r="F28" s="47"/>
      <c r="G28" s="47"/>
      <c r="H28" s="62"/>
      <c r="I28" s="63"/>
      <c r="J28" s="62"/>
      <c r="K28" s="50" t="str">
        <f t="shared" si="2"/>
        <v/>
      </c>
      <c r="L28" s="64"/>
      <c r="M28" s="52" t="str">
        <f t="shared" si="3"/>
        <v/>
      </c>
      <c r="N28" s="53"/>
      <c r="O28" s="54" t="str">
        <f t="shared" si="4"/>
        <v/>
      </c>
      <c r="P28" s="54">
        <f t="shared" si="5"/>
        <v>0</v>
      </c>
      <c r="Q28" s="54" t="str">
        <f t="shared" si="6"/>
        <v/>
      </c>
      <c r="R28" s="47"/>
      <c r="S28" s="47"/>
      <c r="T28" s="2"/>
      <c r="U28" s="2"/>
      <c r="V28" s="2"/>
      <c r="W28" s="2"/>
      <c r="X28" s="2"/>
      <c r="Y28" s="2"/>
    </row>
    <row r="29" ht="15.75" customHeight="1">
      <c r="A29" s="36" t="str">
        <f t="shared" si="1"/>
        <v/>
      </c>
      <c r="B29" s="37"/>
      <c r="C29" s="37"/>
      <c r="D29" s="37"/>
      <c r="E29" s="37"/>
      <c r="F29" s="37"/>
      <c r="G29" s="37"/>
      <c r="H29" s="38"/>
      <c r="I29" s="39"/>
      <c r="J29" s="38"/>
      <c r="K29" s="40" t="str">
        <f t="shared" si="2"/>
        <v/>
      </c>
      <c r="L29" s="61"/>
      <c r="M29" s="42" t="str">
        <f t="shared" si="3"/>
        <v/>
      </c>
      <c r="N29" s="43"/>
      <c r="O29" s="44" t="str">
        <f t="shared" si="4"/>
        <v/>
      </c>
      <c r="P29" s="44">
        <f t="shared" si="5"/>
        <v>0</v>
      </c>
      <c r="Q29" s="44" t="str">
        <f t="shared" si="6"/>
        <v/>
      </c>
      <c r="R29" s="37"/>
      <c r="S29" s="37"/>
      <c r="T29" s="2"/>
      <c r="U29" s="2"/>
      <c r="V29" s="2"/>
      <c r="W29" s="2"/>
      <c r="X29" s="2"/>
      <c r="Y29" s="2"/>
    </row>
    <row r="30" ht="15.75" customHeight="1">
      <c r="A30" s="45" t="str">
        <f t="shared" si="1"/>
        <v/>
      </c>
      <c r="B30" s="47"/>
      <c r="C30" s="47"/>
      <c r="D30" s="47"/>
      <c r="E30" s="47"/>
      <c r="F30" s="47"/>
      <c r="G30" s="47"/>
      <c r="H30" s="62"/>
      <c r="I30" s="63"/>
      <c r="J30" s="62"/>
      <c r="K30" s="50" t="str">
        <f t="shared" si="2"/>
        <v/>
      </c>
      <c r="L30" s="64"/>
      <c r="M30" s="52" t="str">
        <f t="shared" si="3"/>
        <v/>
      </c>
      <c r="N30" s="53"/>
      <c r="O30" s="54" t="str">
        <f t="shared" si="4"/>
        <v/>
      </c>
      <c r="P30" s="54">
        <f t="shared" si="5"/>
        <v>0</v>
      </c>
      <c r="Q30" s="54" t="str">
        <f t="shared" si="6"/>
        <v/>
      </c>
      <c r="R30" s="47"/>
      <c r="S30" s="47"/>
      <c r="T30" s="2"/>
      <c r="U30" s="2"/>
      <c r="V30" s="2"/>
      <c r="W30" s="2"/>
      <c r="X30" s="2"/>
      <c r="Y30" s="2"/>
    </row>
    <row r="31" ht="15.75" customHeight="1">
      <c r="A31" s="36" t="str">
        <f t="shared" si="1"/>
        <v/>
      </c>
      <c r="B31" s="37"/>
      <c r="C31" s="37"/>
      <c r="D31" s="37"/>
      <c r="E31" s="37"/>
      <c r="F31" s="37"/>
      <c r="G31" s="37"/>
      <c r="H31" s="38"/>
      <c r="I31" s="39"/>
      <c r="J31" s="38"/>
      <c r="K31" s="40" t="str">
        <f t="shared" si="2"/>
        <v/>
      </c>
      <c r="L31" s="61"/>
      <c r="M31" s="42" t="str">
        <f t="shared" si="3"/>
        <v/>
      </c>
      <c r="N31" s="43"/>
      <c r="O31" s="44" t="str">
        <f t="shared" si="4"/>
        <v/>
      </c>
      <c r="P31" s="44">
        <f t="shared" si="5"/>
        <v>0</v>
      </c>
      <c r="Q31" s="44" t="str">
        <f t="shared" si="6"/>
        <v/>
      </c>
      <c r="R31" s="37"/>
      <c r="S31" s="37"/>
      <c r="T31" s="2"/>
      <c r="U31" s="2"/>
      <c r="V31" s="2"/>
      <c r="W31" s="2"/>
      <c r="X31" s="2"/>
      <c r="Y31" s="2"/>
    </row>
    <row r="32" ht="15.75" customHeight="1">
      <c r="A32" s="45" t="str">
        <f t="shared" si="1"/>
        <v/>
      </c>
      <c r="B32" s="47"/>
      <c r="C32" s="47"/>
      <c r="D32" s="47"/>
      <c r="E32" s="47"/>
      <c r="F32" s="47"/>
      <c r="G32" s="47"/>
      <c r="H32" s="62"/>
      <c r="I32" s="63"/>
      <c r="J32" s="62"/>
      <c r="K32" s="50" t="str">
        <f t="shared" si="2"/>
        <v/>
      </c>
      <c r="L32" s="64"/>
      <c r="M32" s="52" t="str">
        <f t="shared" si="3"/>
        <v/>
      </c>
      <c r="N32" s="53"/>
      <c r="O32" s="54" t="str">
        <f t="shared" si="4"/>
        <v/>
      </c>
      <c r="P32" s="54">
        <f t="shared" si="5"/>
        <v>0</v>
      </c>
      <c r="Q32" s="54" t="str">
        <f t="shared" si="6"/>
        <v/>
      </c>
      <c r="R32" s="47"/>
      <c r="S32" s="47"/>
      <c r="T32" s="2"/>
      <c r="U32" s="2"/>
      <c r="V32" s="2"/>
      <c r="W32" s="2"/>
      <c r="X32" s="2"/>
      <c r="Y32" s="2"/>
    </row>
    <row r="33" ht="15.75" customHeight="1">
      <c r="A33" s="36" t="str">
        <f t="shared" si="1"/>
        <v/>
      </c>
      <c r="B33" s="37"/>
      <c r="C33" s="37"/>
      <c r="D33" s="37"/>
      <c r="E33" s="37"/>
      <c r="F33" s="37"/>
      <c r="G33" s="37"/>
      <c r="H33" s="38"/>
      <c r="I33" s="39"/>
      <c r="J33" s="38"/>
      <c r="K33" s="40" t="str">
        <f t="shared" si="2"/>
        <v/>
      </c>
      <c r="L33" s="61"/>
      <c r="M33" s="42" t="str">
        <f t="shared" si="3"/>
        <v/>
      </c>
      <c r="N33" s="43"/>
      <c r="O33" s="44" t="str">
        <f t="shared" si="4"/>
        <v/>
      </c>
      <c r="P33" s="44">
        <f t="shared" si="5"/>
        <v>0</v>
      </c>
      <c r="Q33" s="44" t="str">
        <f t="shared" si="6"/>
        <v/>
      </c>
      <c r="R33" s="37"/>
      <c r="S33" s="37"/>
      <c r="T33" s="2"/>
      <c r="U33" s="2"/>
      <c r="V33" s="2"/>
      <c r="W33" s="2"/>
      <c r="X33" s="2"/>
      <c r="Y33" s="2"/>
    </row>
    <row r="34" ht="15.75" customHeight="1">
      <c r="A34" s="45" t="str">
        <f t="shared" si="1"/>
        <v/>
      </c>
      <c r="B34" s="47"/>
      <c r="C34" s="47"/>
      <c r="D34" s="47"/>
      <c r="E34" s="47"/>
      <c r="F34" s="47"/>
      <c r="G34" s="47"/>
      <c r="H34" s="62"/>
      <c r="I34" s="63"/>
      <c r="J34" s="62"/>
      <c r="K34" s="50" t="str">
        <f t="shared" si="2"/>
        <v/>
      </c>
      <c r="L34" s="64"/>
      <c r="M34" s="52" t="str">
        <f t="shared" si="3"/>
        <v/>
      </c>
      <c r="N34" s="53"/>
      <c r="O34" s="54" t="str">
        <f t="shared" si="4"/>
        <v/>
      </c>
      <c r="P34" s="54">
        <f t="shared" si="5"/>
        <v>0</v>
      </c>
      <c r="Q34" s="54" t="str">
        <f t="shared" si="6"/>
        <v/>
      </c>
      <c r="R34" s="47"/>
      <c r="S34" s="47"/>
      <c r="T34" s="2"/>
      <c r="U34" s="2"/>
      <c r="V34" s="2"/>
      <c r="W34" s="2"/>
      <c r="X34" s="2"/>
      <c r="Y34" s="2"/>
    </row>
    <row r="35" ht="15.75" customHeight="1">
      <c r="A35" s="36" t="str">
        <f t="shared" si="1"/>
        <v/>
      </c>
      <c r="B35" s="37"/>
      <c r="C35" s="37"/>
      <c r="D35" s="37"/>
      <c r="E35" s="37"/>
      <c r="F35" s="37"/>
      <c r="G35" s="37"/>
      <c r="H35" s="38"/>
      <c r="I35" s="39"/>
      <c r="J35" s="38"/>
      <c r="K35" s="40" t="str">
        <f t="shared" si="2"/>
        <v/>
      </c>
      <c r="L35" s="61"/>
      <c r="M35" s="42" t="str">
        <f t="shared" si="3"/>
        <v/>
      </c>
      <c r="N35" s="43"/>
      <c r="O35" s="44" t="str">
        <f t="shared" si="4"/>
        <v/>
      </c>
      <c r="P35" s="44">
        <f t="shared" si="5"/>
        <v>0</v>
      </c>
      <c r="Q35" s="44" t="str">
        <f t="shared" si="6"/>
        <v/>
      </c>
      <c r="R35" s="37"/>
      <c r="S35" s="37"/>
      <c r="T35" s="2"/>
      <c r="U35" s="2"/>
      <c r="V35" s="2"/>
      <c r="W35" s="2"/>
      <c r="X35" s="2"/>
      <c r="Y35" s="2"/>
    </row>
    <row r="36" ht="15.75" customHeight="1">
      <c r="A36" s="45" t="str">
        <f t="shared" si="1"/>
        <v/>
      </c>
      <c r="B36" s="47"/>
      <c r="C36" s="47"/>
      <c r="D36" s="47"/>
      <c r="E36" s="47"/>
      <c r="F36" s="47"/>
      <c r="G36" s="47"/>
      <c r="H36" s="62"/>
      <c r="I36" s="63"/>
      <c r="J36" s="62"/>
      <c r="K36" s="50" t="str">
        <f t="shared" si="2"/>
        <v/>
      </c>
      <c r="L36" s="64"/>
      <c r="M36" s="52" t="str">
        <f t="shared" si="3"/>
        <v/>
      </c>
      <c r="N36" s="53"/>
      <c r="O36" s="54" t="str">
        <f t="shared" si="4"/>
        <v/>
      </c>
      <c r="P36" s="54">
        <f t="shared" si="5"/>
        <v>0</v>
      </c>
      <c r="Q36" s="54" t="str">
        <f t="shared" si="6"/>
        <v/>
      </c>
      <c r="R36" s="47"/>
      <c r="S36" s="47"/>
      <c r="T36" s="2"/>
      <c r="U36" s="2"/>
      <c r="V36" s="2"/>
      <c r="W36" s="2"/>
      <c r="X36" s="2"/>
      <c r="Y36" s="2"/>
    </row>
    <row r="37" ht="15.75" customHeight="1">
      <c r="A37" s="36" t="str">
        <f t="shared" si="1"/>
        <v/>
      </c>
      <c r="B37" s="37"/>
      <c r="C37" s="37"/>
      <c r="D37" s="37"/>
      <c r="E37" s="37"/>
      <c r="F37" s="37"/>
      <c r="G37" s="37"/>
      <c r="H37" s="38"/>
      <c r="I37" s="39"/>
      <c r="J37" s="38"/>
      <c r="K37" s="40" t="str">
        <f t="shared" si="2"/>
        <v/>
      </c>
      <c r="L37" s="61"/>
      <c r="M37" s="42" t="str">
        <f t="shared" si="3"/>
        <v/>
      </c>
      <c r="N37" s="43"/>
      <c r="O37" s="44" t="str">
        <f t="shared" si="4"/>
        <v/>
      </c>
      <c r="P37" s="44">
        <f t="shared" si="5"/>
        <v>0</v>
      </c>
      <c r="Q37" s="44" t="str">
        <f t="shared" si="6"/>
        <v/>
      </c>
      <c r="R37" s="37"/>
      <c r="S37" s="37"/>
      <c r="T37" s="2"/>
      <c r="U37" s="2"/>
      <c r="V37" s="2"/>
      <c r="W37" s="2"/>
      <c r="X37" s="2"/>
      <c r="Y37" s="2"/>
    </row>
    <row r="38" ht="15.75" customHeight="1">
      <c r="A38" s="45" t="str">
        <f t="shared" si="1"/>
        <v/>
      </c>
      <c r="B38" s="47"/>
      <c r="C38" s="47"/>
      <c r="D38" s="47"/>
      <c r="E38" s="47"/>
      <c r="F38" s="47"/>
      <c r="G38" s="47"/>
      <c r="H38" s="62"/>
      <c r="I38" s="63"/>
      <c r="J38" s="62"/>
      <c r="K38" s="50" t="str">
        <f t="shared" si="2"/>
        <v/>
      </c>
      <c r="L38" s="64"/>
      <c r="M38" s="52" t="str">
        <f t="shared" si="3"/>
        <v/>
      </c>
      <c r="N38" s="53"/>
      <c r="O38" s="54" t="str">
        <f t="shared" si="4"/>
        <v/>
      </c>
      <c r="P38" s="54">
        <f t="shared" si="5"/>
        <v>0</v>
      </c>
      <c r="Q38" s="54" t="str">
        <f t="shared" si="6"/>
        <v/>
      </c>
      <c r="R38" s="47"/>
      <c r="S38" s="47"/>
      <c r="T38" s="2"/>
      <c r="U38" s="2"/>
      <c r="V38" s="2"/>
      <c r="W38" s="2"/>
      <c r="X38" s="2"/>
      <c r="Y38" s="2"/>
    </row>
    <row r="39" ht="15.75" customHeight="1">
      <c r="A39" s="36" t="str">
        <f t="shared" si="1"/>
        <v/>
      </c>
      <c r="B39" s="37"/>
      <c r="C39" s="37"/>
      <c r="D39" s="37"/>
      <c r="E39" s="37"/>
      <c r="F39" s="37"/>
      <c r="G39" s="37"/>
      <c r="H39" s="38"/>
      <c r="I39" s="39"/>
      <c r="J39" s="38"/>
      <c r="K39" s="40" t="str">
        <f t="shared" si="2"/>
        <v/>
      </c>
      <c r="L39" s="61"/>
      <c r="M39" s="42" t="str">
        <f t="shared" si="3"/>
        <v/>
      </c>
      <c r="N39" s="43"/>
      <c r="O39" s="44" t="str">
        <f t="shared" si="4"/>
        <v/>
      </c>
      <c r="P39" s="44">
        <f t="shared" si="5"/>
        <v>0</v>
      </c>
      <c r="Q39" s="44" t="str">
        <f t="shared" si="6"/>
        <v/>
      </c>
      <c r="R39" s="37"/>
      <c r="S39" s="37"/>
      <c r="T39" s="2"/>
      <c r="U39" s="2"/>
      <c r="V39" s="2"/>
      <c r="W39" s="2"/>
      <c r="X39" s="2"/>
      <c r="Y39" s="2"/>
    </row>
    <row r="40" ht="15.75" customHeight="1">
      <c r="A40" s="45" t="str">
        <f t="shared" si="1"/>
        <v/>
      </c>
      <c r="B40" s="47"/>
      <c r="C40" s="47"/>
      <c r="D40" s="47"/>
      <c r="E40" s="47"/>
      <c r="F40" s="47"/>
      <c r="G40" s="47"/>
      <c r="H40" s="62"/>
      <c r="I40" s="63"/>
      <c r="J40" s="62"/>
      <c r="K40" s="50" t="str">
        <f t="shared" si="2"/>
        <v/>
      </c>
      <c r="L40" s="64"/>
      <c r="M40" s="52" t="str">
        <f t="shared" si="3"/>
        <v/>
      </c>
      <c r="N40" s="53"/>
      <c r="O40" s="54" t="str">
        <f t="shared" si="4"/>
        <v/>
      </c>
      <c r="P40" s="54">
        <f t="shared" si="5"/>
        <v>0</v>
      </c>
      <c r="Q40" s="54" t="str">
        <f t="shared" si="6"/>
        <v/>
      </c>
      <c r="R40" s="47"/>
      <c r="S40" s="47"/>
      <c r="T40" s="2"/>
      <c r="U40" s="2"/>
      <c r="V40" s="2"/>
      <c r="W40" s="2"/>
      <c r="X40" s="2"/>
      <c r="Y40" s="2"/>
    </row>
    <row r="41" ht="15.75" customHeight="1">
      <c r="A41" s="36" t="str">
        <f t="shared" si="1"/>
        <v/>
      </c>
      <c r="B41" s="37"/>
      <c r="C41" s="37"/>
      <c r="D41" s="37"/>
      <c r="E41" s="37"/>
      <c r="F41" s="37"/>
      <c r="G41" s="37"/>
      <c r="H41" s="38"/>
      <c r="I41" s="39"/>
      <c r="J41" s="38"/>
      <c r="K41" s="40" t="str">
        <f t="shared" si="2"/>
        <v/>
      </c>
      <c r="L41" s="61"/>
      <c r="M41" s="42" t="str">
        <f t="shared" si="3"/>
        <v/>
      </c>
      <c r="N41" s="43"/>
      <c r="O41" s="44" t="str">
        <f t="shared" si="4"/>
        <v/>
      </c>
      <c r="P41" s="44">
        <f t="shared" si="5"/>
        <v>0</v>
      </c>
      <c r="Q41" s="44" t="str">
        <f t="shared" si="6"/>
        <v/>
      </c>
      <c r="R41" s="37"/>
      <c r="S41" s="37"/>
      <c r="T41" s="2"/>
      <c r="U41" s="2"/>
      <c r="V41" s="2"/>
      <c r="W41" s="2"/>
      <c r="X41" s="2"/>
      <c r="Y41" s="2"/>
    </row>
    <row r="42" ht="15.75" customHeight="1">
      <c r="A42" s="45" t="str">
        <f t="shared" si="1"/>
        <v/>
      </c>
      <c r="B42" s="47"/>
      <c r="C42" s="47"/>
      <c r="D42" s="47"/>
      <c r="E42" s="47"/>
      <c r="F42" s="47"/>
      <c r="G42" s="47"/>
      <c r="H42" s="62"/>
      <c r="I42" s="63"/>
      <c r="J42" s="62"/>
      <c r="K42" s="50" t="str">
        <f t="shared" si="2"/>
        <v/>
      </c>
      <c r="L42" s="64"/>
      <c r="M42" s="52" t="str">
        <f t="shared" si="3"/>
        <v/>
      </c>
      <c r="N42" s="53"/>
      <c r="O42" s="54" t="str">
        <f t="shared" si="4"/>
        <v/>
      </c>
      <c r="P42" s="54">
        <f t="shared" si="5"/>
        <v>0</v>
      </c>
      <c r="Q42" s="54" t="str">
        <f t="shared" si="6"/>
        <v/>
      </c>
      <c r="R42" s="47"/>
      <c r="S42" s="47"/>
      <c r="T42" s="2"/>
      <c r="U42" s="2"/>
      <c r="V42" s="2"/>
      <c r="W42" s="2"/>
      <c r="X42" s="2"/>
      <c r="Y42" s="2"/>
    </row>
    <row r="43" ht="15.75" customHeight="1">
      <c r="A43" s="36" t="str">
        <f t="shared" si="1"/>
        <v/>
      </c>
      <c r="B43" s="37"/>
      <c r="C43" s="37"/>
      <c r="D43" s="37"/>
      <c r="E43" s="37"/>
      <c r="F43" s="37"/>
      <c r="G43" s="37"/>
      <c r="H43" s="38"/>
      <c r="I43" s="39"/>
      <c r="J43" s="38"/>
      <c r="K43" s="40" t="str">
        <f t="shared" si="2"/>
        <v/>
      </c>
      <c r="L43" s="61"/>
      <c r="M43" s="42" t="str">
        <f t="shared" si="3"/>
        <v/>
      </c>
      <c r="N43" s="43"/>
      <c r="O43" s="44" t="str">
        <f t="shared" si="4"/>
        <v/>
      </c>
      <c r="P43" s="44">
        <f t="shared" si="5"/>
        <v>0</v>
      </c>
      <c r="Q43" s="44" t="str">
        <f t="shared" si="6"/>
        <v/>
      </c>
      <c r="R43" s="37"/>
      <c r="S43" s="37"/>
      <c r="T43" s="2"/>
      <c r="U43" s="2"/>
      <c r="V43" s="2"/>
      <c r="W43" s="2"/>
      <c r="X43" s="2"/>
      <c r="Y43" s="2"/>
    </row>
    <row r="44" ht="15.75" customHeight="1">
      <c r="A44" s="45" t="str">
        <f t="shared" si="1"/>
        <v/>
      </c>
      <c r="B44" s="47"/>
      <c r="C44" s="47"/>
      <c r="D44" s="47"/>
      <c r="E44" s="47"/>
      <c r="F44" s="47"/>
      <c r="G44" s="47"/>
      <c r="H44" s="62"/>
      <c r="I44" s="63"/>
      <c r="J44" s="62"/>
      <c r="K44" s="50" t="str">
        <f t="shared" si="2"/>
        <v/>
      </c>
      <c r="L44" s="64"/>
      <c r="M44" s="52" t="str">
        <f t="shared" si="3"/>
        <v/>
      </c>
      <c r="N44" s="53"/>
      <c r="O44" s="54" t="str">
        <f t="shared" si="4"/>
        <v/>
      </c>
      <c r="P44" s="54">
        <f t="shared" si="5"/>
        <v>0</v>
      </c>
      <c r="Q44" s="54" t="str">
        <f t="shared" si="6"/>
        <v/>
      </c>
      <c r="R44" s="47"/>
      <c r="S44" s="47"/>
      <c r="T44" s="2"/>
      <c r="U44" s="2"/>
      <c r="V44" s="2"/>
      <c r="W44" s="2"/>
      <c r="X44" s="2"/>
      <c r="Y44" s="2"/>
    </row>
    <row r="45" ht="15.75" customHeight="1">
      <c r="A45" s="36" t="str">
        <f t="shared" si="1"/>
        <v/>
      </c>
      <c r="B45" s="37"/>
      <c r="C45" s="37"/>
      <c r="D45" s="37"/>
      <c r="E45" s="37"/>
      <c r="F45" s="37"/>
      <c r="G45" s="37"/>
      <c r="H45" s="38"/>
      <c r="I45" s="39"/>
      <c r="J45" s="38"/>
      <c r="K45" s="40" t="str">
        <f t="shared" si="2"/>
        <v/>
      </c>
      <c r="L45" s="61"/>
      <c r="M45" s="42" t="str">
        <f t="shared" si="3"/>
        <v/>
      </c>
      <c r="N45" s="43"/>
      <c r="O45" s="44" t="str">
        <f t="shared" si="4"/>
        <v/>
      </c>
      <c r="P45" s="44">
        <f t="shared" si="5"/>
        <v>0</v>
      </c>
      <c r="Q45" s="44" t="str">
        <f t="shared" si="6"/>
        <v/>
      </c>
      <c r="R45" s="37"/>
      <c r="S45" s="37"/>
      <c r="T45" s="2"/>
      <c r="U45" s="2"/>
      <c r="V45" s="2"/>
      <c r="W45" s="2"/>
      <c r="X45" s="2"/>
      <c r="Y45" s="2"/>
    </row>
    <row r="46" ht="15.75" customHeight="1">
      <c r="A46" s="45" t="str">
        <f t="shared" si="1"/>
        <v/>
      </c>
      <c r="B46" s="47"/>
      <c r="C46" s="47"/>
      <c r="D46" s="47"/>
      <c r="E46" s="47"/>
      <c r="F46" s="47"/>
      <c r="G46" s="47"/>
      <c r="H46" s="62"/>
      <c r="I46" s="63"/>
      <c r="J46" s="62"/>
      <c r="K46" s="50" t="str">
        <f t="shared" si="2"/>
        <v/>
      </c>
      <c r="L46" s="64"/>
      <c r="M46" s="52" t="str">
        <f t="shared" si="3"/>
        <v/>
      </c>
      <c r="N46" s="53"/>
      <c r="O46" s="54" t="str">
        <f t="shared" si="4"/>
        <v/>
      </c>
      <c r="P46" s="54">
        <f t="shared" si="5"/>
        <v>0</v>
      </c>
      <c r="Q46" s="54" t="str">
        <f t="shared" si="6"/>
        <v/>
      </c>
      <c r="R46" s="47"/>
      <c r="S46" s="47"/>
      <c r="T46" s="2"/>
      <c r="U46" s="2"/>
      <c r="V46" s="2"/>
      <c r="W46" s="2"/>
      <c r="X46" s="2"/>
      <c r="Y46" s="2"/>
    </row>
    <row r="47" ht="15.75" customHeight="1">
      <c r="A47" s="36" t="str">
        <f t="shared" si="1"/>
        <v/>
      </c>
      <c r="B47" s="37"/>
      <c r="C47" s="37"/>
      <c r="D47" s="37"/>
      <c r="E47" s="37"/>
      <c r="F47" s="37"/>
      <c r="G47" s="37"/>
      <c r="H47" s="38"/>
      <c r="I47" s="39"/>
      <c r="J47" s="38"/>
      <c r="K47" s="40" t="str">
        <f t="shared" si="2"/>
        <v/>
      </c>
      <c r="L47" s="61"/>
      <c r="M47" s="42" t="str">
        <f t="shared" si="3"/>
        <v/>
      </c>
      <c r="N47" s="43"/>
      <c r="O47" s="44" t="str">
        <f t="shared" si="4"/>
        <v/>
      </c>
      <c r="P47" s="44">
        <f t="shared" si="5"/>
        <v>0</v>
      </c>
      <c r="Q47" s="44" t="str">
        <f t="shared" si="6"/>
        <v/>
      </c>
      <c r="R47" s="37"/>
      <c r="S47" s="37"/>
      <c r="T47" s="2"/>
      <c r="U47" s="2"/>
      <c r="V47" s="2"/>
      <c r="W47" s="2"/>
      <c r="X47" s="2"/>
      <c r="Y47" s="2"/>
    </row>
    <row r="48" ht="15.75" customHeight="1">
      <c r="A48" s="45" t="str">
        <f t="shared" si="1"/>
        <v/>
      </c>
      <c r="B48" s="47"/>
      <c r="C48" s="47"/>
      <c r="D48" s="47"/>
      <c r="E48" s="47"/>
      <c r="F48" s="47"/>
      <c r="G48" s="47"/>
      <c r="H48" s="62"/>
      <c r="I48" s="63"/>
      <c r="J48" s="62"/>
      <c r="K48" s="50" t="str">
        <f t="shared" si="2"/>
        <v/>
      </c>
      <c r="L48" s="64"/>
      <c r="M48" s="52" t="str">
        <f t="shared" si="3"/>
        <v/>
      </c>
      <c r="N48" s="53"/>
      <c r="O48" s="54" t="str">
        <f t="shared" si="4"/>
        <v/>
      </c>
      <c r="P48" s="54">
        <f t="shared" si="5"/>
        <v>0</v>
      </c>
      <c r="Q48" s="54" t="str">
        <f t="shared" si="6"/>
        <v/>
      </c>
      <c r="R48" s="47"/>
      <c r="S48" s="47"/>
      <c r="T48" s="2"/>
      <c r="U48" s="2"/>
      <c r="V48" s="2"/>
      <c r="W48" s="2"/>
      <c r="X48" s="2"/>
      <c r="Y48" s="2"/>
    </row>
    <row r="49" ht="15.75" customHeight="1">
      <c r="A49" s="36" t="str">
        <f t="shared" si="1"/>
        <v/>
      </c>
      <c r="B49" s="37"/>
      <c r="C49" s="37"/>
      <c r="D49" s="37"/>
      <c r="E49" s="37"/>
      <c r="F49" s="37"/>
      <c r="G49" s="37"/>
      <c r="H49" s="38"/>
      <c r="I49" s="39"/>
      <c r="J49" s="38"/>
      <c r="K49" s="40" t="str">
        <f t="shared" si="2"/>
        <v/>
      </c>
      <c r="L49" s="61"/>
      <c r="M49" s="42" t="str">
        <f t="shared" si="3"/>
        <v/>
      </c>
      <c r="N49" s="43"/>
      <c r="O49" s="44" t="str">
        <f t="shared" si="4"/>
        <v/>
      </c>
      <c r="P49" s="44">
        <f t="shared" si="5"/>
        <v>0</v>
      </c>
      <c r="Q49" s="44" t="str">
        <f t="shared" si="6"/>
        <v/>
      </c>
      <c r="R49" s="37"/>
      <c r="S49" s="37"/>
      <c r="T49" s="2"/>
      <c r="U49" s="2"/>
      <c r="V49" s="2"/>
      <c r="W49" s="2"/>
      <c r="X49" s="2"/>
      <c r="Y49" s="2"/>
    </row>
    <row r="50" ht="15.75" customHeight="1">
      <c r="A50" s="45" t="str">
        <f t="shared" si="1"/>
        <v/>
      </c>
      <c r="B50" s="47"/>
      <c r="C50" s="47"/>
      <c r="D50" s="47"/>
      <c r="E50" s="47"/>
      <c r="F50" s="47"/>
      <c r="G50" s="47"/>
      <c r="H50" s="62"/>
      <c r="I50" s="63"/>
      <c r="J50" s="62"/>
      <c r="K50" s="50" t="str">
        <f t="shared" si="2"/>
        <v/>
      </c>
      <c r="L50" s="64"/>
      <c r="M50" s="52" t="str">
        <f t="shared" si="3"/>
        <v/>
      </c>
      <c r="N50" s="53"/>
      <c r="O50" s="54" t="str">
        <f t="shared" si="4"/>
        <v/>
      </c>
      <c r="P50" s="54">
        <f t="shared" si="5"/>
        <v>0</v>
      </c>
      <c r="Q50" s="54" t="str">
        <f t="shared" si="6"/>
        <v/>
      </c>
      <c r="R50" s="47"/>
      <c r="S50" s="47"/>
      <c r="T50" s="2"/>
      <c r="U50" s="2"/>
      <c r="V50" s="2"/>
      <c r="W50" s="2"/>
      <c r="X50" s="2"/>
      <c r="Y50" s="2"/>
    </row>
    <row r="51" ht="15.75" customHeight="1">
      <c r="A51" s="36" t="str">
        <f t="shared" si="1"/>
        <v/>
      </c>
      <c r="B51" s="37"/>
      <c r="C51" s="37"/>
      <c r="D51" s="37"/>
      <c r="E51" s="37"/>
      <c r="F51" s="37"/>
      <c r="G51" s="37"/>
      <c r="H51" s="38"/>
      <c r="I51" s="39"/>
      <c r="J51" s="38"/>
      <c r="K51" s="40" t="str">
        <f t="shared" si="2"/>
        <v/>
      </c>
      <c r="L51" s="61"/>
      <c r="M51" s="42" t="str">
        <f t="shared" si="3"/>
        <v/>
      </c>
      <c r="N51" s="43"/>
      <c r="O51" s="44" t="str">
        <f t="shared" si="4"/>
        <v/>
      </c>
      <c r="P51" s="44">
        <f t="shared" si="5"/>
        <v>0</v>
      </c>
      <c r="Q51" s="44" t="str">
        <f t="shared" si="6"/>
        <v/>
      </c>
      <c r="R51" s="37"/>
      <c r="S51" s="37"/>
      <c r="T51" s="2"/>
      <c r="U51" s="2"/>
      <c r="V51" s="2"/>
      <c r="W51" s="2"/>
      <c r="X51" s="2"/>
      <c r="Y51" s="2"/>
    </row>
    <row r="52" ht="15.75" customHeight="1">
      <c r="A52" s="45" t="str">
        <f t="shared" si="1"/>
        <v/>
      </c>
      <c r="B52" s="47"/>
      <c r="C52" s="47"/>
      <c r="D52" s="47"/>
      <c r="E52" s="47"/>
      <c r="F52" s="47"/>
      <c r="G52" s="47"/>
      <c r="H52" s="62"/>
      <c r="I52" s="63"/>
      <c r="J52" s="62"/>
      <c r="K52" s="50" t="str">
        <f t="shared" si="2"/>
        <v/>
      </c>
      <c r="L52" s="64"/>
      <c r="M52" s="52" t="str">
        <f t="shared" si="3"/>
        <v/>
      </c>
      <c r="N52" s="53"/>
      <c r="O52" s="54" t="str">
        <f t="shared" si="4"/>
        <v/>
      </c>
      <c r="P52" s="54">
        <f t="shared" si="5"/>
        <v>0</v>
      </c>
      <c r="Q52" s="54" t="str">
        <f t="shared" si="6"/>
        <v/>
      </c>
      <c r="R52" s="47"/>
      <c r="S52" s="47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65" t="s">
        <v>73</v>
      </c>
      <c r="B55" s="66"/>
      <c r="C55" s="66"/>
      <c r="D55" s="67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68" t="s">
        <v>74</v>
      </c>
      <c r="B56" s="29"/>
      <c r="C56" s="29"/>
      <c r="D56" s="30"/>
      <c r="E56" s="69">
        <f>COUNTIF(R5:R52,"Active")</f>
        <v>20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70" t="s">
        <v>75</v>
      </c>
      <c r="B57" s="29"/>
      <c r="C57" s="29"/>
      <c r="D57" s="29"/>
      <c r="E57" s="71">
        <f>SUMPRODUCT(1*(R5:R52="Active"),I5:I52)</f>
        <v>2100000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68" t="s">
        <v>76</v>
      </c>
      <c r="B58" s="29"/>
      <c r="C58" s="29"/>
      <c r="D58" s="30"/>
      <c r="E58" s="71">
        <f>SUMPRODUCT(1*(R5:R52="Active"),O5:O52)</f>
        <v>36250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70" t="s">
        <v>77</v>
      </c>
      <c r="B59" s="29"/>
      <c r="C59" s="29"/>
      <c r="D59" s="29"/>
      <c r="E59" s="71">
        <f>SUMPRODUCT(1*(R5:R52="Active"),P5:P52)</f>
        <v>3000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68" t="s">
        <v>78</v>
      </c>
      <c r="B60" s="29"/>
      <c r="C60" s="29"/>
      <c r="D60" s="30"/>
      <c r="E60" s="71">
        <f>SUMPRODUCT(1*(R5:R52="Active"),Q5:Q52)</f>
        <v>33250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70" t="s">
        <v>10</v>
      </c>
      <c r="B61" s="29"/>
      <c r="C61" s="29"/>
      <c r="D61" s="29"/>
      <c r="E61" s="69">
        <f>COUNTIF(R5:R52,"Closed")</f>
        <v>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68" t="s">
        <v>79</v>
      </c>
      <c r="B62" s="29"/>
      <c r="C62" s="29"/>
      <c r="D62" s="30"/>
      <c r="E62" s="69">
        <f>COUNTIF(R5:R52,"Defaulted")</f>
        <v>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70" t="s">
        <v>80</v>
      </c>
      <c r="B63" s="29"/>
      <c r="C63" s="29"/>
      <c r="D63" s="29"/>
      <c r="E63" s="71">
        <f>E60*12</f>
        <v>399000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autoFilter ref="$A$4:$S$52"/>
  <mergeCells count="11">
    <mergeCell ref="A60:D60"/>
    <mergeCell ref="A61:D61"/>
    <mergeCell ref="A62:D62"/>
    <mergeCell ref="A63:D63"/>
    <mergeCell ref="A1:S1"/>
    <mergeCell ref="A2:S2"/>
    <mergeCell ref="A55:D55"/>
    <mergeCell ref="A56:D56"/>
    <mergeCell ref="A57:D57"/>
    <mergeCell ref="A58:D58"/>
    <mergeCell ref="A59:D59"/>
  </mergeCells>
  <conditionalFormatting sqref="R5:R52">
    <cfRule type="cellIs" dxfId="0" priority="1" operator="equal">
      <formula>"Active"</formula>
    </cfRule>
  </conditionalFormatting>
  <conditionalFormatting sqref="R5:R52">
    <cfRule type="cellIs" dxfId="1" priority="2" operator="equal">
      <formula>"Defaulted"</formula>
    </cfRule>
  </conditionalFormatting>
  <conditionalFormatting sqref="R5:R52">
    <cfRule type="cellIs" dxfId="2" priority="3" operator="equal">
      <formula>"Closed"</formula>
    </cfRule>
  </conditionalFormatting>
  <dataValidations>
    <dataValidation type="list" allowBlank="1" sqref="R5:R52">
      <formula1>"Active,Closed,Defaulted,On Hold"</formula1>
    </dataValidation>
    <dataValidation type="list" allowBlank="1" sqref="E5:E52">
      <formula1>"Direct,Through Mediator"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7377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10.0"/>
    <col customWidth="1" min="3" max="3" width="20.0"/>
    <col customWidth="1" min="4" max="4" width="14.0"/>
    <col customWidth="1" min="5" max="5" width="15.0"/>
    <col customWidth="1" min="6" max="6" width="17.0"/>
    <col customWidth="1" min="7" max="7" width="16.0"/>
    <col customWidth="1" min="8" max="8" width="15.0"/>
    <col customWidth="1" min="9" max="9" width="14.0"/>
    <col customWidth="1" min="10" max="10" width="11.0"/>
    <col customWidth="1" min="11" max="11" width="15.0"/>
    <col customWidth="1" min="12" max="12" width="25.0"/>
    <col customWidth="1" min="13" max="26" width="8.71"/>
  </cols>
  <sheetData>
    <row r="1" ht="49.5" customHeight="1">
      <c r="A1" s="72" t="s">
        <v>81</v>
      </c>
    </row>
    <row r="2" ht="15.0" customHeight="1">
      <c r="A2" s="34" t="s">
        <v>82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45.0" customHeight="1">
      <c r="A4" s="73" t="s">
        <v>83</v>
      </c>
      <c r="B4" s="73" t="s">
        <v>84</v>
      </c>
      <c r="C4" s="73" t="s">
        <v>85</v>
      </c>
      <c r="D4" s="73" t="s">
        <v>86</v>
      </c>
      <c r="E4" s="73" t="s">
        <v>87</v>
      </c>
      <c r="F4" s="73" t="s">
        <v>88</v>
      </c>
      <c r="G4" s="73" t="s">
        <v>89</v>
      </c>
      <c r="H4" s="73" t="s">
        <v>90</v>
      </c>
      <c r="I4" s="73" t="s">
        <v>91</v>
      </c>
      <c r="J4" s="73" t="s">
        <v>92</v>
      </c>
      <c r="K4" s="73" t="s">
        <v>93</v>
      </c>
      <c r="L4" s="73" t="s">
        <v>94</v>
      </c>
      <c r="M4" s="74" t="s">
        <v>95</v>
      </c>
      <c r="N4" s="74" t="s">
        <v>96</v>
      </c>
    </row>
    <row r="5" ht="15.0" customHeight="1">
      <c r="A5" s="36">
        <f t="shared" ref="A5:A501" si="1">IF(B5="","",ROW()-4)</f>
        <v>1</v>
      </c>
      <c r="B5" s="55" t="s">
        <v>97</v>
      </c>
      <c r="C5" s="75" t="str">
        <f>IFERROR(VLOOKUP(B5,'Loan Master'!A5:S52,2,FALSE),"")</f>
        <v>Kostalu Nani</v>
      </c>
      <c r="D5" s="76">
        <v>46082.0</v>
      </c>
      <c r="E5" s="61">
        <f>DATE(2026,3,2)</f>
        <v>46083</v>
      </c>
      <c r="F5" s="77">
        <f>IFERROR(VLOOKUP(B5,'Loan Master'!A5:S52,15,FALSE),"")</f>
        <v>2000</v>
      </c>
      <c r="G5" s="39">
        <f>IFERROR(IF(VLOOKUP(B5,'Loan Master'!A5:S52,5,FALSE)="Direct",0,VLOOKUP(B5,'Loan Master'!A5:S52,16,FALSE)),"")</f>
        <v>0</v>
      </c>
      <c r="H5" s="39">
        <f>IFERROR(VLOOKUP(B5,'Loan Master'!A5:S52,17,FALSE),"")</f>
        <v>2000</v>
      </c>
      <c r="I5" s="78">
        <v>2000.0</v>
      </c>
      <c r="J5" s="79">
        <v>46093.0</v>
      </c>
      <c r="K5" s="80" t="s">
        <v>98</v>
      </c>
      <c r="L5" s="81" t="str">
        <f t="shared" ref="L5:L207" si="2">IF(OR(E5="",B5=""),"",IF(OR(K5="Received",K5="Waived",K5=""),"",IF(AND(J5&lt;&gt;"",ISNUMBER(J5)),MAX(0,INT(J5-E5)),IF(AND(ISNUMBER(E5),TODAY()&gt;E5),INT(TODAY()-E5),0))))</f>
        <v/>
      </c>
      <c r="M5" s="82">
        <f t="shared" ref="M5:M207" si="3">IF(OR(H5="",B5=""),"",IF(OR(K5="Received",K5="Waived"),0,IF(AND(I5&lt;&gt;"",ISNUMBER(I5)),MAX(0,H5-I5),H5)))</f>
        <v>0</v>
      </c>
    </row>
    <row r="6" ht="15.0" customHeight="1">
      <c r="A6" s="83">
        <f t="shared" si="1"/>
        <v>2</v>
      </c>
      <c r="B6" s="84" t="s">
        <v>99</v>
      </c>
      <c r="C6" s="85" t="str">
        <f>IFERROR(VLOOKUP(B6,'Loan Master'!A5:S52,2,FALSE),"")</f>
        <v>Suddapalli Suresh</v>
      </c>
      <c r="D6" s="86">
        <v>46082.0</v>
      </c>
      <c r="E6" s="87">
        <f>DATE(2026,3,3)</f>
        <v>46084</v>
      </c>
      <c r="F6" s="88">
        <f>IFERROR(VLOOKUP(B6,'Loan Master'!A5:S52,15,FALSE),"")</f>
        <v>2000</v>
      </c>
      <c r="G6" s="89">
        <f>IFERROR(IF(VLOOKUP(B6,'Loan Master'!A5:S52,5,FALSE)="Direct",0,VLOOKUP(B6,'Loan Master'!A5:S52,16,FALSE)),"")</f>
        <v>0</v>
      </c>
      <c r="H6" s="89">
        <f>IFERROR(VLOOKUP(B6,'Loan Master'!A5:S52,17,FALSE),"")</f>
        <v>2000</v>
      </c>
      <c r="I6" s="90">
        <v>2000.0</v>
      </c>
      <c r="J6" s="79">
        <v>46093.0</v>
      </c>
      <c r="K6" s="91" t="s">
        <v>98</v>
      </c>
      <c r="L6" s="92" t="str">
        <f t="shared" si="2"/>
        <v/>
      </c>
      <c r="M6" s="82">
        <f t="shared" si="3"/>
        <v>0</v>
      </c>
    </row>
    <row r="7" ht="15.0" customHeight="1">
      <c r="A7" s="36">
        <f t="shared" si="1"/>
        <v>3</v>
      </c>
      <c r="B7" s="55" t="s">
        <v>100</v>
      </c>
      <c r="C7" s="75" t="str">
        <f>IFERROR(VLOOKUP(B7,'Loan Master'!A5:S52,2,FALSE),"")</f>
        <v>Suddapalli Suresh</v>
      </c>
      <c r="D7" s="76">
        <v>46082.0</v>
      </c>
      <c r="E7" s="61">
        <f>DATE(2026,3,4)</f>
        <v>46085</v>
      </c>
      <c r="F7" s="77">
        <f>IFERROR(VLOOKUP(B7,'Loan Master'!A5:S52,15,FALSE),"")</f>
        <v>1000</v>
      </c>
      <c r="G7" s="39">
        <f>IFERROR(IF(VLOOKUP(B7,'Loan Master'!A5:S52,5,FALSE)="Direct",0,VLOOKUP(B7,'Loan Master'!A5:S52,16,FALSE)),"")</f>
        <v>0</v>
      </c>
      <c r="H7" s="39">
        <f>IFERROR(VLOOKUP(B7,'Loan Master'!A5:S52,17,FALSE),"")</f>
        <v>1000</v>
      </c>
      <c r="I7" s="78">
        <v>1000.0</v>
      </c>
      <c r="J7" s="79">
        <v>46093.0</v>
      </c>
      <c r="K7" s="80" t="s">
        <v>98</v>
      </c>
      <c r="L7" s="81" t="str">
        <f t="shared" si="2"/>
        <v/>
      </c>
      <c r="M7" s="82">
        <f t="shared" si="3"/>
        <v>0</v>
      </c>
    </row>
    <row r="8" ht="15.0" customHeight="1">
      <c r="A8" s="83">
        <f t="shared" si="1"/>
        <v>4</v>
      </c>
      <c r="B8" s="84" t="s">
        <v>101</v>
      </c>
      <c r="C8" s="85" t="str">
        <f>IFERROR(VLOOKUP(B8,'Loan Master'!A5:S52,2,FALSE),"")</f>
        <v>Abdule Mateen</v>
      </c>
      <c r="D8" s="86">
        <v>46082.0</v>
      </c>
      <c r="E8" s="87">
        <f>DATE(2026,3,5)</f>
        <v>46086</v>
      </c>
      <c r="F8" s="88">
        <f>IFERROR(VLOOKUP(B8,'Loan Master'!A5:S52,15,FALSE),"")</f>
        <v>5000</v>
      </c>
      <c r="G8" s="89">
        <f>IFERROR(IF(VLOOKUP(B8,'Loan Master'!A5:S52,5,FALSE)="Direct",0,VLOOKUP(B8,'Loan Master'!A5:S52,16,FALSE)),"")</f>
        <v>0</v>
      </c>
      <c r="H8" s="89">
        <f>IFERROR(VLOOKUP(B8,'Loan Master'!A5:S52,17,FALSE),"")</f>
        <v>5000</v>
      </c>
      <c r="I8" s="93">
        <v>5000.0</v>
      </c>
      <c r="J8" s="79">
        <v>46085.0</v>
      </c>
      <c r="K8" s="91" t="s">
        <v>98</v>
      </c>
      <c r="L8" s="92" t="str">
        <f t="shared" si="2"/>
        <v/>
      </c>
      <c r="M8" s="82">
        <f t="shared" si="3"/>
        <v>0</v>
      </c>
    </row>
    <row r="9" ht="15.0" customHeight="1">
      <c r="A9" s="83">
        <f t="shared" si="1"/>
        <v>5</v>
      </c>
      <c r="B9" s="84" t="s">
        <v>102</v>
      </c>
      <c r="C9" s="85" t="str">
        <f>IFERROR(VLOOKUP(B9,'Loan Master'!A5:S52,2,FALSE),"")</f>
        <v>Suddapalli Mahesh Mama</v>
      </c>
      <c r="D9" s="86">
        <v>46082.0</v>
      </c>
      <c r="E9" s="87">
        <f>DATE(2026,3,5)</f>
        <v>46086</v>
      </c>
      <c r="F9" s="88">
        <f>IFERROR(VLOOKUP(B9,'Loan Master'!A5:S52,15,FALSE),"")</f>
        <v>750</v>
      </c>
      <c r="G9" s="89">
        <f>IFERROR(IF(VLOOKUP(B9,'Loan Master'!A5:S52,5,FALSE)="Direct",0,VLOOKUP(B9,'Loan Master'!A5:S52,16,FALSE)),"")</f>
        <v>0</v>
      </c>
      <c r="H9" s="89">
        <f>IFERROR(VLOOKUP(B9,'Loan Master'!A5:S52,17,FALSE),"")</f>
        <v>750</v>
      </c>
      <c r="I9" s="90">
        <v>750.0</v>
      </c>
      <c r="J9" s="79">
        <v>46093.0</v>
      </c>
      <c r="K9" s="91" t="s">
        <v>98</v>
      </c>
      <c r="L9" s="92" t="str">
        <f t="shared" si="2"/>
        <v/>
      </c>
      <c r="M9" s="82">
        <f t="shared" si="3"/>
        <v>0</v>
      </c>
    </row>
    <row r="10" ht="15.0" customHeight="1">
      <c r="A10" s="83">
        <f t="shared" si="1"/>
        <v>6</v>
      </c>
      <c r="B10" s="84" t="s">
        <v>103</v>
      </c>
      <c r="C10" s="85" t="str">
        <f>IFERROR(VLOOKUP(B10,'Loan Master'!A5:S52,2,FALSE),"")</f>
        <v>RTC Venkateswarlu</v>
      </c>
      <c r="D10" s="86">
        <v>46082.0</v>
      </c>
      <c r="E10" s="87">
        <f>DATE(2026,3,9)</f>
        <v>46090</v>
      </c>
      <c r="F10" s="88">
        <f>IFERROR(VLOOKUP(B10,'Loan Master'!A5:S52,15,FALSE),"")</f>
        <v>1000</v>
      </c>
      <c r="G10" s="89">
        <f>IFERROR(IF(VLOOKUP(B10,'Loan Master'!A5:S52,5,FALSE)="Direct",0,VLOOKUP(B10,'Loan Master'!A5:S52,16,FALSE)),"")</f>
        <v>0</v>
      </c>
      <c r="H10" s="89">
        <f>IFERROR(VLOOKUP(B10,'Loan Master'!A5:S52,17,FALSE),"")</f>
        <v>1000</v>
      </c>
      <c r="I10" s="90">
        <v>1000.0</v>
      </c>
      <c r="J10" s="79">
        <v>46093.0</v>
      </c>
      <c r="K10" s="91" t="s">
        <v>98</v>
      </c>
      <c r="L10" s="92" t="str">
        <f t="shared" si="2"/>
        <v/>
      </c>
      <c r="M10" s="82">
        <f t="shared" si="3"/>
        <v>0</v>
      </c>
    </row>
    <row r="11" ht="15.0" customHeight="1">
      <c r="A11" s="83">
        <f t="shared" si="1"/>
        <v>7</v>
      </c>
      <c r="B11" s="84" t="s">
        <v>104</v>
      </c>
      <c r="C11" s="85" t="str">
        <f>IFERROR(VLOOKUP(B11,'Loan Master'!A5:S52,2,FALSE),"")</f>
        <v>Kostalu Sailaja</v>
      </c>
      <c r="D11" s="86">
        <v>46082.0</v>
      </c>
      <c r="E11" s="87">
        <f>DATE(2026,3,11)</f>
        <v>46092</v>
      </c>
      <c r="F11" s="88">
        <f>IFERROR(VLOOKUP(B11,'Loan Master'!A5:S52,15,FALSE),"")</f>
        <v>1000</v>
      </c>
      <c r="G11" s="89">
        <f>IFERROR(IF(VLOOKUP(B11,'Loan Master'!A5:S52,5,FALSE)="Direct",0,VLOOKUP(B11,'Loan Master'!A5:S52,16,FALSE)),"")</f>
        <v>0</v>
      </c>
      <c r="H11" s="89">
        <f>IFERROR(VLOOKUP(B11,'Loan Master'!A5:S52,17,FALSE),"")</f>
        <v>1000</v>
      </c>
      <c r="I11" s="90">
        <v>1000.0</v>
      </c>
      <c r="J11" s="79">
        <v>46093.0</v>
      </c>
      <c r="K11" s="91" t="s">
        <v>98</v>
      </c>
      <c r="L11" s="92" t="str">
        <f t="shared" si="2"/>
        <v/>
      </c>
      <c r="M11" s="82">
        <f t="shared" si="3"/>
        <v>0</v>
      </c>
    </row>
    <row r="12" ht="15.0" customHeight="1">
      <c r="A12" s="36">
        <f t="shared" si="1"/>
        <v>8</v>
      </c>
      <c r="B12" s="55" t="s">
        <v>105</v>
      </c>
      <c r="C12" s="75" t="str">
        <f>IFERROR(VLOOKUP(B12,'Loan Master'!A5:S52,2,FALSE),"")</f>
        <v>Madda Chiranjeevi</v>
      </c>
      <c r="D12" s="76">
        <v>46082.0</v>
      </c>
      <c r="E12" s="61">
        <f>DATE(2026,3,12)</f>
        <v>46093</v>
      </c>
      <c r="F12" s="77">
        <f>IFERROR(VLOOKUP(B12,'Loan Master'!A5:S52,15,FALSE),"")</f>
        <v>1000</v>
      </c>
      <c r="G12" s="39">
        <f>IFERROR(IF(VLOOKUP(B12,'Loan Master'!A5:S52,5,FALSE)="Direct",0,VLOOKUP(B12,'Loan Master'!A5:S52,16,FALSE)),"")</f>
        <v>0</v>
      </c>
      <c r="H12" s="39">
        <f>IFERROR(VLOOKUP(B12,'Loan Master'!A5:S52,17,FALSE),"")</f>
        <v>1000</v>
      </c>
      <c r="I12" s="78">
        <v>1000.0</v>
      </c>
      <c r="J12" s="94">
        <v>46089.0</v>
      </c>
      <c r="K12" s="80" t="s">
        <v>98</v>
      </c>
      <c r="L12" s="81" t="str">
        <f t="shared" si="2"/>
        <v/>
      </c>
      <c r="M12" s="82">
        <f t="shared" si="3"/>
        <v>0</v>
      </c>
    </row>
    <row r="13" ht="15.0" customHeight="1">
      <c r="A13" s="36">
        <f t="shared" si="1"/>
        <v>9</v>
      </c>
      <c r="B13" s="55" t="s">
        <v>106</v>
      </c>
      <c r="C13" s="75" t="str">
        <f>IFERROR(VLOOKUP(B13,'Loan Master'!A5:S52,2,FALSE),"")</f>
        <v>Adapala Vamsi</v>
      </c>
      <c r="D13" s="76">
        <v>46082.0</v>
      </c>
      <c r="E13" s="61">
        <f t="shared" ref="E13:E14" si="4">DATE(2026,3,13)</f>
        <v>46094</v>
      </c>
      <c r="F13" s="77">
        <f>IFERROR(VLOOKUP(B13,'Loan Master'!A5:S52,15,FALSE),"")</f>
        <v>1000</v>
      </c>
      <c r="G13" s="39">
        <f>IFERROR(IF(VLOOKUP(B13,'Loan Master'!A5:S52,5,FALSE)="Direct",0,VLOOKUP(B13,'Loan Master'!A5:S52,16,FALSE)),"")</f>
        <v>0</v>
      </c>
      <c r="H13" s="39">
        <f>IFERROR(VLOOKUP(B13,'Loan Master'!A5:S52,17,FALSE),"")</f>
        <v>1000</v>
      </c>
      <c r="I13" s="78">
        <v>1000.0</v>
      </c>
      <c r="J13" s="79">
        <v>46093.0</v>
      </c>
      <c r="K13" s="80" t="s">
        <v>98</v>
      </c>
      <c r="L13" s="81" t="str">
        <f t="shared" si="2"/>
        <v/>
      </c>
      <c r="M13" s="82">
        <f t="shared" si="3"/>
        <v>0</v>
      </c>
    </row>
    <row r="14" ht="15.0" customHeight="1">
      <c r="A14" s="36">
        <f t="shared" si="1"/>
        <v>10</v>
      </c>
      <c r="B14" s="55" t="s">
        <v>107</v>
      </c>
      <c r="C14" s="75" t="str">
        <f>IFERROR(VLOOKUP(B14,'Loan Master'!A5:S52,2,FALSE),"")</f>
        <v>Madda Chiranjeevi</v>
      </c>
      <c r="D14" s="76">
        <v>46082.0</v>
      </c>
      <c r="E14" s="61">
        <f t="shared" si="4"/>
        <v>46094</v>
      </c>
      <c r="F14" s="77">
        <f>IFERROR(VLOOKUP(B14,'Loan Master'!A5:S52,15,FALSE),"")</f>
        <v>1000</v>
      </c>
      <c r="G14" s="39">
        <f>IFERROR(IF(VLOOKUP(B14,'Loan Master'!A5:S52,5,FALSE)="Direct",0,VLOOKUP(B14,'Loan Master'!A5:S52,16,FALSE)),"")</f>
        <v>0</v>
      </c>
      <c r="H14" s="39">
        <f>IFERROR(VLOOKUP(B14,'Loan Master'!A5:S52,17,FALSE),"")</f>
        <v>1000</v>
      </c>
      <c r="I14" s="78">
        <v>1000.0</v>
      </c>
      <c r="J14" s="94">
        <v>46097.0</v>
      </c>
      <c r="K14" s="80" t="s">
        <v>98</v>
      </c>
      <c r="L14" s="81" t="str">
        <f t="shared" si="2"/>
        <v/>
      </c>
      <c r="M14" s="82">
        <f t="shared" si="3"/>
        <v>0</v>
      </c>
    </row>
    <row r="15" ht="15.0" customHeight="1">
      <c r="A15" s="83">
        <f t="shared" si="1"/>
        <v>11</v>
      </c>
      <c r="B15" s="84" t="s">
        <v>108</v>
      </c>
      <c r="C15" s="85" t="str">
        <f>IFERROR(VLOOKUP(B15,'Loan Master'!A5:S52,2,FALSE),"")</f>
        <v>Muchu Sridevi</v>
      </c>
      <c r="D15" s="86">
        <v>46082.0</v>
      </c>
      <c r="E15" s="87">
        <f>DATE(2026,3,16)</f>
        <v>46097</v>
      </c>
      <c r="F15" s="88">
        <f>IFERROR(VLOOKUP(B15,'Loan Master'!A5:S52,15,FALSE),"")</f>
        <v>1000</v>
      </c>
      <c r="G15" s="89">
        <f>IFERROR(IF(VLOOKUP(B15,'Loan Master'!A5:S52,5,FALSE)="Direct",0,VLOOKUP(B15,'Loan Master'!A5:S52,16,FALSE)),"")</f>
        <v>0</v>
      </c>
      <c r="H15" s="89">
        <f>IFERROR(VLOOKUP(B15,'Loan Master'!A5:S52,17,FALSE),"")</f>
        <v>1000</v>
      </c>
      <c r="I15" s="90">
        <v>1000.0</v>
      </c>
      <c r="J15" s="79">
        <v>46101.0</v>
      </c>
      <c r="K15" s="91" t="s">
        <v>98</v>
      </c>
      <c r="L15" s="92" t="str">
        <f t="shared" si="2"/>
        <v/>
      </c>
      <c r="M15" s="82">
        <f t="shared" si="3"/>
        <v>0</v>
      </c>
    </row>
    <row r="16" ht="15.0" customHeight="1">
      <c r="A16" s="83">
        <f t="shared" si="1"/>
        <v>12</v>
      </c>
      <c r="B16" s="84" t="s">
        <v>109</v>
      </c>
      <c r="C16" s="85" t="str">
        <f>IFERROR(VLOOKUP(B16,'Loan Master'!A5:S52,2,FALSE),"")</f>
        <v>Siva Prasad Reddy(Venky)</v>
      </c>
      <c r="D16" s="86">
        <v>46082.0</v>
      </c>
      <c r="E16" s="87">
        <f>DATE(2026,3,17)</f>
        <v>46098</v>
      </c>
      <c r="F16" s="88">
        <f>IFERROR(VLOOKUP(B16,'Loan Master'!A5:S52,15,FALSE),"")</f>
        <v>4000</v>
      </c>
      <c r="G16" s="89">
        <f>IFERROR(IF(VLOOKUP(B16,'Loan Master'!A5:S52,5,FALSE)="Direct",0,VLOOKUP(B16,'Loan Master'!A5:S52,16,FALSE)),"")</f>
        <v>1000</v>
      </c>
      <c r="H16" s="89">
        <f>IFERROR(VLOOKUP(B16,'Loan Master'!A5:S52,17,FALSE),"")</f>
        <v>3000</v>
      </c>
      <c r="I16" s="90">
        <v>3000.0</v>
      </c>
      <c r="J16" s="79">
        <v>46103.0</v>
      </c>
      <c r="K16" s="91" t="s">
        <v>98</v>
      </c>
      <c r="L16" s="92" t="str">
        <f t="shared" si="2"/>
        <v/>
      </c>
      <c r="M16" s="82">
        <f t="shared" si="3"/>
        <v>0</v>
      </c>
    </row>
    <row r="17" ht="15.0" customHeight="1">
      <c r="A17" s="36">
        <f t="shared" si="1"/>
        <v>13</v>
      </c>
      <c r="B17" s="55" t="s">
        <v>110</v>
      </c>
      <c r="C17" s="75" t="str">
        <f>IFERROR(VLOOKUP(B17,'Loan Master'!A5:S52,2,FALSE),"")</f>
        <v>Suddapalli Naveen</v>
      </c>
      <c r="D17" s="76">
        <v>46082.0</v>
      </c>
      <c r="E17" s="61">
        <f t="shared" ref="E17:E18" si="5">DATE(2026,3,23)</f>
        <v>46104</v>
      </c>
      <c r="F17" s="77">
        <f>IFERROR(VLOOKUP(B17,'Loan Master'!A5:S52,15,FALSE),"")</f>
        <v>1000</v>
      </c>
      <c r="G17" s="39">
        <f>IFERROR(IF(VLOOKUP(B17,'Loan Master'!A5:S52,5,FALSE)="Direct",0,VLOOKUP(B17,'Loan Master'!A5:S52,16,FALSE)),"")</f>
        <v>0</v>
      </c>
      <c r="H17" s="39">
        <f>IFERROR(VLOOKUP(B17,'Loan Master'!A5:S52,17,FALSE),"")</f>
        <v>1000</v>
      </c>
      <c r="I17" s="78">
        <v>1000.0</v>
      </c>
      <c r="J17" s="94">
        <v>46105.0</v>
      </c>
      <c r="K17" s="80" t="s">
        <v>98</v>
      </c>
      <c r="L17" s="81" t="str">
        <f t="shared" si="2"/>
        <v/>
      </c>
      <c r="M17" s="82">
        <f t="shared" si="3"/>
        <v>0</v>
      </c>
    </row>
    <row r="18" ht="15.0" customHeight="1">
      <c r="A18" s="36">
        <f t="shared" si="1"/>
        <v>14</v>
      </c>
      <c r="B18" s="55" t="s">
        <v>111</v>
      </c>
      <c r="C18" s="75" t="str">
        <f>IFERROR(VLOOKUP(B18,'Loan Master'!A5:S52,2,FALSE),"")</f>
        <v>Naveen</v>
      </c>
      <c r="D18" s="76">
        <v>46082.0</v>
      </c>
      <c r="E18" s="61">
        <f t="shared" si="5"/>
        <v>46104</v>
      </c>
      <c r="F18" s="77">
        <f>IFERROR(VLOOKUP(B18,'Loan Master'!A5:S52,15,FALSE),"")</f>
        <v>1000</v>
      </c>
      <c r="G18" s="39">
        <f>IFERROR(IF(VLOOKUP(B18,'Loan Master'!A5:S52,5,FALSE)="Direct",0,VLOOKUP(B18,'Loan Master'!A5:S52,16,FALSE)),"")</f>
        <v>0</v>
      </c>
      <c r="H18" s="39">
        <f>IFERROR(VLOOKUP(B18,'Loan Master'!A5:S52,17,FALSE),"")</f>
        <v>1000</v>
      </c>
      <c r="I18" s="78">
        <v>1000.0</v>
      </c>
      <c r="J18" s="94">
        <v>46104.0</v>
      </c>
      <c r="K18" s="80" t="s">
        <v>98</v>
      </c>
      <c r="L18" s="81" t="str">
        <f t="shared" si="2"/>
        <v/>
      </c>
      <c r="M18" s="82">
        <f t="shared" si="3"/>
        <v>0</v>
      </c>
    </row>
    <row r="19" ht="15.0" customHeight="1">
      <c r="A19" s="36">
        <f t="shared" si="1"/>
        <v>15</v>
      </c>
      <c r="B19" s="55" t="s">
        <v>112</v>
      </c>
      <c r="C19" s="75" t="str">
        <f>IFERROR(VLOOKUP(B19,'Loan Master'!A5:S52,2,FALSE),"")</f>
        <v>MRF Ramu</v>
      </c>
      <c r="D19" s="76">
        <v>46082.0</v>
      </c>
      <c r="E19" s="61">
        <f t="shared" ref="E19:E20" si="6">DATE(2026,3,28)</f>
        <v>46109</v>
      </c>
      <c r="F19" s="77">
        <f>IFERROR(VLOOKUP(B19,'Loan Master'!A5:S52,15,FALSE),"")</f>
        <v>4000</v>
      </c>
      <c r="G19" s="39">
        <f>IFERROR(IF(VLOOKUP(B19,'Loan Master'!A5:S52,5,FALSE)="Direct",0,VLOOKUP(B19,'Loan Master'!A5:S52,16,FALSE)),"")</f>
        <v>1000</v>
      </c>
      <c r="H19" s="39">
        <f>IFERROR(VLOOKUP(B19,'Loan Master'!A5:S52,17,FALSE),"")</f>
        <v>3000</v>
      </c>
      <c r="I19" s="78">
        <v>3000.0</v>
      </c>
      <c r="J19" s="94">
        <v>46111.0</v>
      </c>
      <c r="K19" s="80" t="s">
        <v>98</v>
      </c>
      <c r="L19" s="81" t="str">
        <f t="shared" si="2"/>
        <v/>
      </c>
      <c r="M19" s="82">
        <f t="shared" si="3"/>
        <v>0</v>
      </c>
    </row>
    <row r="20" ht="15.0" customHeight="1">
      <c r="A20" s="83">
        <f t="shared" si="1"/>
        <v>16</v>
      </c>
      <c r="B20" s="84" t="s">
        <v>113</v>
      </c>
      <c r="C20" s="85" t="str">
        <f>IFERROR(VLOOKUP(B20,'Loan Master'!A5:S52,2,FALSE),"")</f>
        <v>Sunny</v>
      </c>
      <c r="D20" s="86">
        <v>46082.0</v>
      </c>
      <c r="E20" s="87">
        <f t="shared" si="6"/>
        <v>46109</v>
      </c>
      <c r="F20" s="88">
        <f>IFERROR(VLOOKUP(B20,'Loan Master'!A5:S52,15,FALSE),"")</f>
        <v>1000</v>
      </c>
      <c r="G20" s="89">
        <f>IFERROR(IF(VLOOKUP(B20,'Loan Master'!A5:S52,5,FALSE)="Direct",0,VLOOKUP(B20,'Loan Master'!A5:S52,16,FALSE)),"")</f>
        <v>0</v>
      </c>
      <c r="H20" s="89">
        <f>IFERROR(VLOOKUP(B20,'Loan Master'!A5:S52,17,FALSE),"")</f>
        <v>1000</v>
      </c>
      <c r="I20" s="90">
        <v>1000.0</v>
      </c>
      <c r="J20" s="94">
        <v>46111.0</v>
      </c>
      <c r="K20" s="91" t="s">
        <v>98</v>
      </c>
      <c r="L20" s="92" t="str">
        <f t="shared" si="2"/>
        <v/>
      </c>
      <c r="M20" s="82">
        <f t="shared" si="3"/>
        <v>0</v>
      </c>
    </row>
    <row r="21" ht="15.0" customHeight="1">
      <c r="A21" s="36">
        <f t="shared" si="1"/>
        <v>17</v>
      </c>
      <c r="B21" s="55" t="s">
        <v>97</v>
      </c>
      <c r="C21" s="75" t="str">
        <f>IFERROR(VLOOKUP(B21,'Loan Master'!A5:S52,2,FALSE),"")</f>
        <v>Kostalu Nani</v>
      </c>
      <c r="D21" s="76">
        <v>46113.0</v>
      </c>
      <c r="E21" s="61">
        <f>DATE(2026,4,2)</f>
        <v>46114</v>
      </c>
      <c r="F21" s="77">
        <f>IFERROR(VLOOKUP(B21,'Loan Master'!A5:S52,15,FALSE),"")</f>
        <v>2000</v>
      </c>
      <c r="G21" s="39">
        <f>IFERROR(IF(VLOOKUP(B21,'Loan Master'!A5:S52,5,FALSE)="Direct",0,VLOOKUP(B21,'Loan Master'!A5:S52,16,FALSE)),"")</f>
        <v>0</v>
      </c>
      <c r="H21" s="39">
        <f>IFERROR(VLOOKUP(B21,'Loan Master'!A5:S52,17,FALSE),"")</f>
        <v>2000</v>
      </c>
      <c r="I21" s="95"/>
      <c r="J21" s="94">
        <v>46125.0</v>
      </c>
      <c r="K21" s="80" t="s">
        <v>98</v>
      </c>
      <c r="L21" s="81" t="str">
        <f t="shared" si="2"/>
        <v/>
      </c>
      <c r="M21" s="82">
        <f t="shared" si="3"/>
        <v>0</v>
      </c>
    </row>
    <row r="22" ht="15.0" customHeight="1">
      <c r="A22" s="83">
        <f t="shared" si="1"/>
        <v>18</v>
      </c>
      <c r="B22" s="84" t="s">
        <v>99</v>
      </c>
      <c r="C22" s="85" t="str">
        <f>IFERROR(VLOOKUP(B22,'Loan Master'!A5:S52,2,FALSE),"")</f>
        <v>Suddapalli Suresh</v>
      </c>
      <c r="D22" s="86">
        <v>46113.0</v>
      </c>
      <c r="E22" s="87">
        <f>DATE(2026,4,3)</f>
        <v>46115</v>
      </c>
      <c r="F22" s="88">
        <f>IFERROR(VLOOKUP(B22,'Loan Master'!A5:S52,15,FALSE),"")</f>
        <v>2000</v>
      </c>
      <c r="G22" s="89">
        <f>IFERROR(IF(VLOOKUP(B22,'Loan Master'!A5:S52,5,FALSE)="Direct",0,VLOOKUP(B22,'Loan Master'!A5:S52,16,FALSE)),"")</f>
        <v>0</v>
      </c>
      <c r="H22" s="89">
        <f>IFERROR(VLOOKUP(B22,'Loan Master'!A5:S52,17,FALSE),"")</f>
        <v>2000</v>
      </c>
      <c r="I22" s="96"/>
      <c r="J22" s="79">
        <v>46120.0</v>
      </c>
      <c r="K22" s="91" t="s">
        <v>98</v>
      </c>
      <c r="L22" s="92" t="str">
        <f t="shared" si="2"/>
        <v/>
      </c>
      <c r="M22" s="82">
        <f t="shared" si="3"/>
        <v>0</v>
      </c>
    </row>
    <row r="23" ht="15.0" customHeight="1">
      <c r="A23" s="36">
        <f t="shared" si="1"/>
        <v>19</v>
      </c>
      <c r="B23" s="55" t="s">
        <v>100</v>
      </c>
      <c r="C23" s="75" t="str">
        <f>IFERROR(VLOOKUP(B23,'Loan Master'!A5:S52,2,FALSE),"")</f>
        <v>Suddapalli Suresh</v>
      </c>
      <c r="D23" s="76">
        <v>46113.0</v>
      </c>
      <c r="E23" s="61">
        <f t="shared" ref="E23:E24" si="7">DATE(2026,4,4)</f>
        <v>46116</v>
      </c>
      <c r="F23" s="77">
        <f>IFERROR(VLOOKUP(B23,'Loan Master'!A5:S52,15,FALSE),"")</f>
        <v>1000</v>
      </c>
      <c r="G23" s="39">
        <f>IFERROR(IF(VLOOKUP(B23,'Loan Master'!A5:S52,5,FALSE)="Direct",0,VLOOKUP(B23,'Loan Master'!A5:S52,16,FALSE)),"")</f>
        <v>0</v>
      </c>
      <c r="H23" s="39">
        <f>IFERROR(VLOOKUP(B23,'Loan Master'!A5:S52,17,FALSE),"")</f>
        <v>1000</v>
      </c>
      <c r="I23" s="95"/>
      <c r="J23" s="79">
        <v>46120.0</v>
      </c>
      <c r="K23" s="80" t="s">
        <v>98</v>
      </c>
      <c r="L23" s="81" t="str">
        <f t="shared" si="2"/>
        <v/>
      </c>
      <c r="M23" s="82">
        <f t="shared" si="3"/>
        <v>0</v>
      </c>
    </row>
    <row r="24" ht="15.0" customHeight="1">
      <c r="A24" s="36">
        <f t="shared" si="1"/>
        <v>20</v>
      </c>
      <c r="B24" s="55" t="s">
        <v>114</v>
      </c>
      <c r="C24" s="75" t="str">
        <f>IFERROR(VLOOKUP(B24,'Loan Master'!A5:S52,2,FALSE),"")</f>
        <v>Madda Chiranjeevi</v>
      </c>
      <c r="D24" s="76">
        <v>46113.0</v>
      </c>
      <c r="E24" s="61">
        <f t="shared" si="7"/>
        <v>46116</v>
      </c>
      <c r="F24" s="77">
        <f>IFERROR(VLOOKUP(B24,'Loan Master'!A5:S52,15,FALSE),"")</f>
        <v>2000</v>
      </c>
      <c r="G24" s="39">
        <f>IFERROR(IF(VLOOKUP(B24,'Loan Master'!A5:S52,5,FALSE)="Direct",0,VLOOKUP(B24,'Loan Master'!A5:S52,16,FALSE)),"")</f>
        <v>500</v>
      </c>
      <c r="H24" s="39">
        <f>IFERROR(VLOOKUP(B24,'Loan Master'!A5:S52,17,FALSE),"")</f>
        <v>1500</v>
      </c>
      <c r="I24" s="78">
        <v>2000.0</v>
      </c>
      <c r="J24" s="94">
        <v>46118.0</v>
      </c>
      <c r="K24" s="80" t="s">
        <v>98</v>
      </c>
      <c r="L24" s="81" t="str">
        <f t="shared" si="2"/>
        <v/>
      </c>
      <c r="M24" s="82">
        <f t="shared" si="3"/>
        <v>0</v>
      </c>
    </row>
    <row r="25" ht="15.0" customHeight="1">
      <c r="A25" s="83">
        <f t="shared" si="1"/>
        <v>21</v>
      </c>
      <c r="B25" s="84" t="s">
        <v>101</v>
      </c>
      <c r="C25" s="85" t="str">
        <f>IFERROR(VLOOKUP(B25,'Loan Master'!A5:S52,2,FALSE),"")</f>
        <v>Abdule Mateen</v>
      </c>
      <c r="D25" s="86">
        <v>46113.0</v>
      </c>
      <c r="E25" s="87">
        <f t="shared" ref="E25:E27" si="8">DATE(2026,4,5)</f>
        <v>46117</v>
      </c>
      <c r="F25" s="88">
        <f>IFERROR(VLOOKUP(B25,'Loan Master'!A5:S52,15,FALSE),"")</f>
        <v>5000</v>
      </c>
      <c r="G25" s="89">
        <f>IFERROR(IF(VLOOKUP(B25,'Loan Master'!A5:S52,5,FALSE)="Direct",0,VLOOKUP(B25,'Loan Master'!A5:S52,16,FALSE)),"")</f>
        <v>0</v>
      </c>
      <c r="H25" s="89">
        <f>IFERROR(VLOOKUP(B25,'Loan Master'!A5:S52,17,FALSE),"")</f>
        <v>5000</v>
      </c>
      <c r="I25" s="90">
        <v>5000.0</v>
      </c>
      <c r="J25" s="79">
        <v>46119.0</v>
      </c>
      <c r="K25" s="91" t="s">
        <v>98</v>
      </c>
      <c r="L25" s="92" t="str">
        <f t="shared" si="2"/>
        <v/>
      </c>
      <c r="M25" s="82">
        <f t="shared" si="3"/>
        <v>0</v>
      </c>
    </row>
    <row r="26" ht="15.0" customHeight="1">
      <c r="A26" s="83">
        <f t="shared" si="1"/>
        <v>22</v>
      </c>
      <c r="B26" s="84" t="s">
        <v>102</v>
      </c>
      <c r="C26" s="85" t="str">
        <f>IFERROR(VLOOKUP(B26,'Loan Master'!A5:S52,2,FALSE),"")</f>
        <v>Suddapalli Mahesh Mama</v>
      </c>
      <c r="D26" s="86">
        <v>46113.0</v>
      </c>
      <c r="E26" s="87">
        <f t="shared" si="8"/>
        <v>46117</v>
      </c>
      <c r="F26" s="88">
        <f>IFERROR(VLOOKUP(B26,'Loan Master'!A5:S52,15,FALSE),"")</f>
        <v>750</v>
      </c>
      <c r="G26" s="89">
        <f>IFERROR(IF(VLOOKUP(B26,'Loan Master'!A5:S52,5,FALSE)="Direct",0,VLOOKUP(B26,'Loan Master'!A5:S52,16,FALSE)),"")</f>
        <v>0</v>
      </c>
      <c r="H26" s="89">
        <f>IFERROR(VLOOKUP(B26,'Loan Master'!A5:S52,17,FALSE),"")</f>
        <v>750</v>
      </c>
      <c r="I26" s="96"/>
      <c r="J26" s="79">
        <v>46127.0</v>
      </c>
      <c r="K26" s="91" t="s">
        <v>98</v>
      </c>
      <c r="L26" s="92" t="str">
        <f t="shared" si="2"/>
        <v/>
      </c>
      <c r="M26" s="82">
        <f t="shared" si="3"/>
        <v>0</v>
      </c>
    </row>
    <row r="27" ht="15.0" customHeight="1">
      <c r="A27" s="83">
        <f t="shared" si="1"/>
        <v>23</v>
      </c>
      <c r="B27" s="84" t="s">
        <v>115</v>
      </c>
      <c r="C27" s="85" t="str">
        <f>IFERROR(VLOOKUP(B27,'Loan Master'!A5:S52,2,FALSE),"")</f>
        <v>Abdule Mateen</v>
      </c>
      <c r="D27" s="86">
        <v>46113.0</v>
      </c>
      <c r="E27" s="87">
        <f t="shared" si="8"/>
        <v>46117</v>
      </c>
      <c r="F27" s="88">
        <f>IFERROR(VLOOKUP(B27,'Loan Master'!A5:S52,15,FALSE),"")</f>
        <v>3750</v>
      </c>
      <c r="G27" s="89">
        <f>IFERROR(IF(VLOOKUP(B27,'Loan Master'!A5:S52,5,FALSE)="Direct",0,VLOOKUP(B27,'Loan Master'!A5:S52,16,FALSE)),"")</f>
        <v>0</v>
      </c>
      <c r="H27" s="89">
        <f>IFERROR(VLOOKUP(B27,'Loan Master'!A5:S52,17,FALSE),"")</f>
        <v>3750</v>
      </c>
      <c r="I27" s="90">
        <v>3750.0</v>
      </c>
      <c r="J27" s="79">
        <v>46119.0</v>
      </c>
      <c r="K27" s="91" t="s">
        <v>98</v>
      </c>
      <c r="L27" s="92" t="str">
        <f t="shared" si="2"/>
        <v/>
      </c>
      <c r="M27" s="82">
        <f t="shared" si="3"/>
        <v>0</v>
      </c>
    </row>
    <row r="28" ht="15.0" customHeight="1">
      <c r="A28" s="83">
        <f t="shared" si="1"/>
        <v>24</v>
      </c>
      <c r="B28" s="84" t="s">
        <v>103</v>
      </c>
      <c r="C28" s="85" t="str">
        <f>IFERROR(VLOOKUP(B28,'Loan Master'!A5:S52,2,FALSE),"")</f>
        <v>RTC Venkateswarlu</v>
      </c>
      <c r="D28" s="86">
        <v>46113.0</v>
      </c>
      <c r="E28" s="87">
        <f>DATE(2026,4,9)</f>
        <v>46121</v>
      </c>
      <c r="F28" s="88">
        <f>IFERROR(VLOOKUP(B28,'Loan Master'!A5:S52,15,FALSE),"")</f>
        <v>1000</v>
      </c>
      <c r="G28" s="89">
        <f>IFERROR(IF(VLOOKUP(B28,'Loan Master'!A5:S52,5,FALSE)="Direct",0,VLOOKUP(B28,'Loan Master'!A5:S52,16,FALSE)),"")</f>
        <v>0</v>
      </c>
      <c r="H28" s="89">
        <f>IFERROR(VLOOKUP(B28,'Loan Master'!A5:S52,17,FALSE),"")</f>
        <v>1000</v>
      </c>
      <c r="I28" s="90">
        <v>1000.0</v>
      </c>
      <c r="J28" s="79">
        <v>46121.0</v>
      </c>
      <c r="K28" s="91" t="s">
        <v>98</v>
      </c>
      <c r="L28" s="92" t="str">
        <f t="shared" si="2"/>
        <v/>
      </c>
      <c r="M28" s="82">
        <f t="shared" si="3"/>
        <v>0</v>
      </c>
    </row>
    <row r="29" ht="15.0" customHeight="1">
      <c r="A29" s="83">
        <f t="shared" si="1"/>
        <v>25</v>
      </c>
      <c r="B29" s="84" t="s">
        <v>104</v>
      </c>
      <c r="C29" s="85" t="str">
        <f>IFERROR(VLOOKUP(B29,'Loan Master'!A5:S52,2,FALSE),"")</f>
        <v>Kostalu Sailaja</v>
      </c>
      <c r="D29" s="86">
        <v>46113.0</v>
      </c>
      <c r="E29" s="87">
        <f>DATE(2026,4,11)</f>
        <v>46123</v>
      </c>
      <c r="F29" s="88">
        <f>IFERROR(VLOOKUP(B29,'Loan Master'!A5:S52,15,FALSE),"")</f>
        <v>1000</v>
      </c>
      <c r="G29" s="89">
        <f>IFERROR(IF(VLOOKUP(B29,'Loan Master'!A5:S52,5,FALSE)="Direct",0,VLOOKUP(B29,'Loan Master'!A5:S52,16,FALSE)),"")</f>
        <v>0</v>
      </c>
      <c r="H29" s="89">
        <f>IFERROR(VLOOKUP(B29,'Loan Master'!A5:S52,17,FALSE),"")</f>
        <v>1000</v>
      </c>
      <c r="I29" s="96"/>
      <c r="J29" s="97"/>
      <c r="K29" s="91" t="s">
        <v>116</v>
      </c>
      <c r="L29" s="92">
        <f t="shared" si="2"/>
        <v>6</v>
      </c>
      <c r="M29" s="82">
        <f t="shared" si="3"/>
        <v>1000</v>
      </c>
    </row>
    <row r="30" ht="15.0" customHeight="1">
      <c r="A30" s="36">
        <f t="shared" si="1"/>
        <v>26</v>
      </c>
      <c r="B30" s="55" t="s">
        <v>105</v>
      </c>
      <c r="C30" s="75" t="str">
        <f>IFERROR(VLOOKUP(B30,'Loan Master'!A5:S52,2,FALSE),"")</f>
        <v>Madda Chiranjeevi</v>
      </c>
      <c r="D30" s="76">
        <v>46113.0</v>
      </c>
      <c r="E30" s="61">
        <f>DATE(2026,4,12)</f>
        <v>46124</v>
      </c>
      <c r="F30" s="77">
        <f>IFERROR(VLOOKUP(B30,'Loan Master'!A5:S52,15,FALSE),"")</f>
        <v>1000</v>
      </c>
      <c r="G30" s="39">
        <f>IFERROR(IF(VLOOKUP(B30,'Loan Master'!A5:S52,5,FALSE)="Direct",0,VLOOKUP(B30,'Loan Master'!A5:S52,16,FALSE)),"")</f>
        <v>0</v>
      </c>
      <c r="H30" s="39">
        <f>IFERROR(VLOOKUP(B30,'Loan Master'!A5:S52,17,FALSE),"")</f>
        <v>1000</v>
      </c>
      <c r="I30" s="95"/>
      <c r="J30" s="94">
        <v>46125.0</v>
      </c>
      <c r="K30" s="80" t="s">
        <v>98</v>
      </c>
      <c r="L30" s="81" t="str">
        <f t="shared" si="2"/>
        <v/>
      </c>
      <c r="M30" s="82">
        <f t="shared" si="3"/>
        <v>0</v>
      </c>
    </row>
    <row r="31" ht="15.0" customHeight="1">
      <c r="A31" s="36">
        <f t="shared" si="1"/>
        <v>27</v>
      </c>
      <c r="B31" s="55" t="s">
        <v>106</v>
      </c>
      <c r="C31" s="75" t="str">
        <f>IFERROR(VLOOKUP(B31,'Loan Master'!A5:S52,2,FALSE),"")</f>
        <v>Adapala Vamsi</v>
      </c>
      <c r="D31" s="76">
        <v>46113.0</v>
      </c>
      <c r="E31" s="61">
        <f t="shared" ref="E31:E32" si="9">DATE(2026,4,13)</f>
        <v>46125</v>
      </c>
      <c r="F31" s="77">
        <f>IFERROR(VLOOKUP(B31,'Loan Master'!A5:S52,15,FALSE),"")</f>
        <v>1000</v>
      </c>
      <c r="G31" s="39">
        <f>IFERROR(IF(VLOOKUP(B31,'Loan Master'!A5:S52,5,FALSE)="Direct",0,VLOOKUP(B31,'Loan Master'!A5:S52,16,FALSE)),"")</f>
        <v>0</v>
      </c>
      <c r="H31" s="39">
        <f>IFERROR(VLOOKUP(B31,'Loan Master'!A5:S52,17,FALSE),"")</f>
        <v>1000</v>
      </c>
      <c r="I31" s="95"/>
      <c r="J31" s="98"/>
      <c r="K31" s="80" t="s">
        <v>116</v>
      </c>
      <c r="L31" s="81">
        <f t="shared" si="2"/>
        <v>4</v>
      </c>
      <c r="M31" s="82">
        <f t="shared" si="3"/>
        <v>1000</v>
      </c>
    </row>
    <row r="32" ht="15.0" customHeight="1">
      <c r="A32" s="36">
        <f t="shared" si="1"/>
        <v>28</v>
      </c>
      <c r="B32" s="55" t="s">
        <v>107</v>
      </c>
      <c r="C32" s="75" t="str">
        <f>IFERROR(VLOOKUP(B32,'Loan Master'!A5:S52,2,FALSE),"")</f>
        <v>Madda Chiranjeevi</v>
      </c>
      <c r="D32" s="76">
        <v>46113.0</v>
      </c>
      <c r="E32" s="61">
        <f t="shared" si="9"/>
        <v>46125</v>
      </c>
      <c r="F32" s="77">
        <f>IFERROR(VLOOKUP(B32,'Loan Master'!A5:S52,15,FALSE),"")</f>
        <v>1000</v>
      </c>
      <c r="G32" s="39">
        <f>IFERROR(IF(VLOOKUP(B32,'Loan Master'!A5:S52,5,FALSE)="Direct",0,VLOOKUP(B32,'Loan Master'!A5:S52,16,FALSE)),"")</f>
        <v>0</v>
      </c>
      <c r="H32" s="39">
        <f>IFERROR(VLOOKUP(B32,'Loan Master'!A5:S52,17,FALSE),"")</f>
        <v>1000</v>
      </c>
      <c r="I32" s="95"/>
      <c r="J32" s="94">
        <v>46125.0</v>
      </c>
      <c r="K32" s="80" t="s">
        <v>98</v>
      </c>
      <c r="L32" s="81" t="str">
        <f t="shared" si="2"/>
        <v/>
      </c>
      <c r="M32" s="82">
        <f t="shared" si="3"/>
        <v>0</v>
      </c>
    </row>
    <row r="33" ht="15.0" customHeight="1">
      <c r="A33" s="83">
        <f t="shared" si="1"/>
        <v>29</v>
      </c>
      <c r="B33" s="84" t="s">
        <v>108</v>
      </c>
      <c r="C33" s="85" t="str">
        <f>IFERROR(VLOOKUP(B33,'Loan Master'!A5:S52,2,FALSE),"")</f>
        <v>Muchu Sridevi</v>
      </c>
      <c r="D33" s="86">
        <v>46113.0</v>
      </c>
      <c r="E33" s="87">
        <f>DATE(2026,4,16)</f>
        <v>46128</v>
      </c>
      <c r="F33" s="88">
        <f>IFERROR(VLOOKUP(B33,'Loan Master'!A5:S52,15,FALSE),"")</f>
        <v>1000</v>
      </c>
      <c r="G33" s="89">
        <f>IFERROR(IF(VLOOKUP(B33,'Loan Master'!A5:S52,5,FALSE)="Direct",0,VLOOKUP(B33,'Loan Master'!A5:S52,16,FALSE)),"")</f>
        <v>0</v>
      </c>
      <c r="H33" s="89">
        <f>IFERROR(VLOOKUP(B33,'Loan Master'!A5:S52,17,FALSE),"")</f>
        <v>1000</v>
      </c>
      <c r="I33" s="96"/>
      <c r="J33" s="97"/>
      <c r="K33" s="91" t="s">
        <v>116</v>
      </c>
      <c r="L33" s="92">
        <f t="shared" si="2"/>
        <v>1</v>
      </c>
      <c r="M33" s="82">
        <f t="shared" si="3"/>
        <v>1000</v>
      </c>
    </row>
    <row r="34" ht="15.0" customHeight="1">
      <c r="A34" s="83">
        <f t="shared" si="1"/>
        <v>30</v>
      </c>
      <c r="B34" s="84" t="s">
        <v>109</v>
      </c>
      <c r="C34" s="85" t="str">
        <f>IFERROR(VLOOKUP(B34,'Loan Master'!A5:S52,2,FALSE),"")</f>
        <v>Siva Prasad Reddy(Venky)</v>
      </c>
      <c r="D34" s="86">
        <v>46113.0</v>
      </c>
      <c r="E34" s="87">
        <f>DATE(2026,4,17)</f>
        <v>46129</v>
      </c>
      <c r="F34" s="88">
        <f>IFERROR(VLOOKUP(B34,'Loan Master'!A5:S52,15,FALSE),"")</f>
        <v>4000</v>
      </c>
      <c r="G34" s="89">
        <f>IFERROR(IF(VLOOKUP(B34,'Loan Master'!A5:S52,5,FALSE)="Direct",0,VLOOKUP(B34,'Loan Master'!A5:S52,16,FALSE)),"")</f>
        <v>1000</v>
      </c>
      <c r="H34" s="89">
        <f>IFERROR(VLOOKUP(B34,'Loan Master'!A5:S52,17,FALSE),"")</f>
        <v>3000</v>
      </c>
      <c r="I34" s="96"/>
      <c r="J34" s="97"/>
      <c r="K34" s="91" t="s">
        <v>116</v>
      </c>
      <c r="L34" s="92">
        <f t="shared" si="2"/>
        <v>0</v>
      </c>
      <c r="M34" s="82">
        <f t="shared" si="3"/>
        <v>3000</v>
      </c>
    </row>
    <row r="35" ht="15.0" customHeight="1">
      <c r="A35" s="36">
        <f t="shared" si="1"/>
        <v>31</v>
      </c>
      <c r="B35" s="55" t="s">
        <v>110</v>
      </c>
      <c r="C35" s="75" t="str">
        <f>IFERROR(VLOOKUP(B35,'Loan Master'!A5:S52,2,FALSE),"")</f>
        <v>Suddapalli Naveen</v>
      </c>
      <c r="D35" s="76">
        <v>46113.0</v>
      </c>
      <c r="E35" s="61">
        <f t="shared" ref="E35:E36" si="10">DATE(2026,4,23)</f>
        <v>46135</v>
      </c>
      <c r="F35" s="77">
        <f>IFERROR(VLOOKUP(B35,'Loan Master'!A5:S52,15,FALSE),"")</f>
        <v>1000</v>
      </c>
      <c r="G35" s="39">
        <f>IFERROR(IF(VLOOKUP(B35,'Loan Master'!A5:S52,5,FALSE)="Direct",0,VLOOKUP(B35,'Loan Master'!A5:S52,16,FALSE)),"")</f>
        <v>0</v>
      </c>
      <c r="H35" s="39">
        <f>IFERROR(VLOOKUP(B35,'Loan Master'!A5:S52,17,FALSE),"")</f>
        <v>1000</v>
      </c>
      <c r="I35" s="95"/>
      <c r="J35" s="98"/>
      <c r="K35" s="80" t="s">
        <v>116</v>
      </c>
      <c r="L35" s="81">
        <f t="shared" si="2"/>
        <v>0</v>
      </c>
      <c r="M35" s="82">
        <f t="shared" si="3"/>
        <v>1000</v>
      </c>
    </row>
    <row r="36" ht="15.0" customHeight="1">
      <c r="A36" s="36">
        <f t="shared" si="1"/>
        <v>32</v>
      </c>
      <c r="B36" s="55" t="s">
        <v>111</v>
      </c>
      <c r="C36" s="75" t="str">
        <f>IFERROR(VLOOKUP(B36,'Loan Master'!A5:S52,2,FALSE),"")</f>
        <v>Naveen</v>
      </c>
      <c r="D36" s="76">
        <v>46113.0</v>
      </c>
      <c r="E36" s="61">
        <f t="shared" si="10"/>
        <v>46135</v>
      </c>
      <c r="F36" s="77">
        <f>IFERROR(VLOOKUP(B36,'Loan Master'!A5:S52,15,FALSE),"")</f>
        <v>1000</v>
      </c>
      <c r="G36" s="39">
        <f>IFERROR(IF(VLOOKUP(B36,'Loan Master'!A5:S52,5,FALSE)="Direct",0,VLOOKUP(B36,'Loan Master'!A5:S52,16,FALSE)),"")</f>
        <v>0</v>
      </c>
      <c r="H36" s="39">
        <f>IFERROR(VLOOKUP(B36,'Loan Master'!A5:S52,17,FALSE),"")</f>
        <v>1000</v>
      </c>
      <c r="I36" s="95"/>
      <c r="J36" s="98"/>
      <c r="K36" s="80" t="s">
        <v>116</v>
      </c>
      <c r="L36" s="81">
        <f t="shared" si="2"/>
        <v>0</v>
      </c>
      <c r="M36" s="82">
        <f t="shared" si="3"/>
        <v>1000</v>
      </c>
    </row>
    <row r="37" ht="15.0" customHeight="1">
      <c r="A37" s="36">
        <f t="shared" si="1"/>
        <v>33</v>
      </c>
      <c r="B37" s="55" t="s">
        <v>112</v>
      </c>
      <c r="C37" s="75" t="str">
        <f>IFERROR(VLOOKUP(B37,'Loan Master'!A5:S52,2,FALSE),"")</f>
        <v>MRF Ramu</v>
      </c>
      <c r="D37" s="76">
        <v>46113.0</v>
      </c>
      <c r="E37" s="61">
        <f t="shared" ref="E37:E38" si="11">DATE(2026,4,28)</f>
        <v>46140</v>
      </c>
      <c r="F37" s="77">
        <f>IFERROR(VLOOKUP(B37,'Loan Master'!A5:S52,15,FALSE),"")</f>
        <v>4000</v>
      </c>
      <c r="G37" s="39">
        <f>IFERROR(IF(VLOOKUP(B37,'Loan Master'!A5:S52,5,FALSE)="Direct",0,VLOOKUP(B37,'Loan Master'!A5:S52,16,FALSE)),"")</f>
        <v>1000</v>
      </c>
      <c r="H37" s="39">
        <f>IFERROR(VLOOKUP(B37,'Loan Master'!A5:S52,17,FALSE),"")</f>
        <v>3000</v>
      </c>
      <c r="I37" s="95"/>
      <c r="J37" s="98"/>
      <c r="K37" s="80" t="s">
        <v>116</v>
      </c>
      <c r="L37" s="81">
        <f t="shared" si="2"/>
        <v>0</v>
      </c>
      <c r="M37" s="82">
        <f t="shared" si="3"/>
        <v>3000</v>
      </c>
    </row>
    <row r="38" ht="15.0" customHeight="1">
      <c r="A38" s="83">
        <f t="shared" si="1"/>
        <v>34</v>
      </c>
      <c r="B38" s="84" t="s">
        <v>113</v>
      </c>
      <c r="C38" s="85" t="str">
        <f>IFERROR(VLOOKUP(B38,'Loan Master'!A5:S52,2,FALSE),"")</f>
        <v>Sunny</v>
      </c>
      <c r="D38" s="86">
        <v>46113.0</v>
      </c>
      <c r="E38" s="87">
        <f t="shared" si="11"/>
        <v>46140</v>
      </c>
      <c r="F38" s="88">
        <f>IFERROR(VLOOKUP(B38,'Loan Master'!A5:S52,15,FALSE),"")</f>
        <v>1000</v>
      </c>
      <c r="G38" s="89">
        <f>IFERROR(IF(VLOOKUP(B38,'Loan Master'!A5:S52,5,FALSE)="Direct",0,VLOOKUP(B38,'Loan Master'!A5:S52,16,FALSE)),"")</f>
        <v>0</v>
      </c>
      <c r="H38" s="89">
        <f>IFERROR(VLOOKUP(B38,'Loan Master'!A5:S52,17,FALSE),"")</f>
        <v>1000</v>
      </c>
      <c r="I38" s="96"/>
      <c r="J38" s="97"/>
      <c r="K38" s="91" t="s">
        <v>116</v>
      </c>
      <c r="L38" s="92">
        <f t="shared" si="2"/>
        <v>0</v>
      </c>
      <c r="M38" s="82">
        <f t="shared" si="3"/>
        <v>1000</v>
      </c>
    </row>
    <row r="39" ht="15.0" customHeight="1">
      <c r="A39" s="83" t="str">
        <f t="shared" si="1"/>
        <v/>
      </c>
      <c r="B39" s="99"/>
      <c r="C39" s="85" t="str">
        <f>IFERROR(VLOOKUP(B39,'Loan Master'!A5:S52,2,FALSE()),"")</f>
        <v/>
      </c>
      <c r="D39" s="99"/>
      <c r="E39" s="87"/>
      <c r="F39" s="88" t="str">
        <f>IFERROR(VLOOKUP(B39,'Loan Master'!A5:S52,15,FALSE()),"")</f>
        <v/>
      </c>
      <c r="G39" s="89" t="str">
        <f>IFERROR(IF(VLOOKUP(B39,'Loan Master'!A5:S52,5,FALSE())="Direct",0,VLOOKUP(B39,'Loan Master'!A5:S52,16,FALSE())),"")</f>
        <v/>
      </c>
      <c r="H39" s="89" t="str">
        <f>IFERROR(VLOOKUP(B39,'Loan Master'!A5:S52,17,FALSE()),"")</f>
        <v/>
      </c>
      <c r="I39" s="96"/>
      <c r="J39" s="97"/>
      <c r="K39" s="100"/>
      <c r="L39" s="92" t="str">
        <f t="shared" si="2"/>
        <v/>
      </c>
      <c r="M39" s="82" t="str">
        <f t="shared" si="3"/>
        <v/>
      </c>
    </row>
    <row r="40" ht="15.0" customHeight="1">
      <c r="A40" s="36" t="str">
        <f t="shared" si="1"/>
        <v/>
      </c>
      <c r="B40" s="37"/>
      <c r="C40" s="75" t="str">
        <f>IFERROR(VLOOKUP(B40,'Loan Master'!A5:S52,2,FALSE()),"")</f>
        <v/>
      </c>
      <c r="D40" s="37"/>
      <c r="E40" s="61"/>
      <c r="F40" s="77" t="str">
        <f>IFERROR(VLOOKUP(B40,'Loan Master'!A5:S52,15,FALSE()),"")</f>
        <v/>
      </c>
      <c r="G40" s="39" t="str">
        <f>IFERROR(IF(VLOOKUP(B40,'Loan Master'!A5:S52,5,FALSE())="Direct",0,VLOOKUP(B40,'Loan Master'!A5:S52,16,FALSE())),"")</f>
        <v/>
      </c>
      <c r="H40" s="39" t="str">
        <f>IFERROR(VLOOKUP(B40,'Loan Master'!A5:S52,17,FALSE()),"")</f>
        <v/>
      </c>
      <c r="I40" s="95"/>
      <c r="J40" s="98"/>
      <c r="K40" s="44"/>
      <c r="L40" s="81" t="str">
        <f t="shared" si="2"/>
        <v/>
      </c>
      <c r="M40" s="82" t="str">
        <f t="shared" si="3"/>
        <v/>
      </c>
    </row>
    <row r="41" ht="15.0" customHeight="1">
      <c r="A41" s="83" t="str">
        <f t="shared" si="1"/>
        <v/>
      </c>
      <c r="B41" s="99"/>
      <c r="C41" s="85" t="str">
        <f>IFERROR(VLOOKUP(B41,'Loan Master'!A5:S52,2,FALSE()),"")</f>
        <v/>
      </c>
      <c r="D41" s="99"/>
      <c r="E41" s="87"/>
      <c r="F41" s="88" t="str">
        <f>IFERROR(VLOOKUP(B41,'Loan Master'!A5:S52,15,FALSE()),"")</f>
        <v/>
      </c>
      <c r="G41" s="89" t="str">
        <f>IFERROR(IF(VLOOKUP(B41,'Loan Master'!A5:S52,5,FALSE())="Direct",0,VLOOKUP(B41,'Loan Master'!A5:S52,16,FALSE())),"")</f>
        <v/>
      </c>
      <c r="H41" s="89" t="str">
        <f>IFERROR(VLOOKUP(B41,'Loan Master'!A5:S52,17,FALSE()),"")</f>
        <v/>
      </c>
      <c r="I41" s="96"/>
      <c r="J41" s="97"/>
      <c r="K41" s="100"/>
      <c r="L41" s="92" t="str">
        <f t="shared" si="2"/>
        <v/>
      </c>
      <c r="M41" s="82" t="str">
        <f t="shared" si="3"/>
        <v/>
      </c>
    </row>
    <row r="42" ht="15.0" customHeight="1">
      <c r="A42" s="36" t="str">
        <f t="shared" si="1"/>
        <v/>
      </c>
      <c r="B42" s="37"/>
      <c r="C42" s="75" t="str">
        <f>IFERROR(VLOOKUP(B42,'Loan Master'!A5:S52,2,FALSE()),"")</f>
        <v/>
      </c>
      <c r="D42" s="37"/>
      <c r="E42" s="61"/>
      <c r="F42" s="77" t="str">
        <f>IFERROR(VLOOKUP(B42,'Loan Master'!A5:S52,15,FALSE()),"")</f>
        <v/>
      </c>
      <c r="G42" s="39" t="str">
        <f>IFERROR(IF(VLOOKUP(B42,'Loan Master'!A5:S52,5,FALSE())="Direct",0,VLOOKUP(B42,'Loan Master'!A5:S52,16,FALSE())),"")</f>
        <v/>
      </c>
      <c r="H42" s="39" t="str">
        <f>IFERROR(VLOOKUP(B42,'Loan Master'!A5:S52,17,FALSE()),"")</f>
        <v/>
      </c>
      <c r="I42" s="95"/>
      <c r="J42" s="98"/>
      <c r="K42" s="44"/>
      <c r="L42" s="81" t="str">
        <f t="shared" si="2"/>
        <v/>
      </c>
      <c r="M42" s="82" t="str">
        <f t="shared" si="3"/>
        <v/>
      </c>
    </row>
    <row r="43" ht="15.0" customHeight="1">
      <c r="A43" s="83" t="str">
        <f t="shared" si="1"/>
        <v/>
      </c>
      <c r="B43" s="99"/>
      <c r="C43" s="85" t="str">
        <f>IFERROR(VLOOKUP(B43,'Loan Master'!A5:S52,2,FALSE()),"")</f>
        <v/>
      </c>
      <c r="D43" s="99"/>
      <c r="E43" s="87"/>
      <c r="F43" s="88" t="str">
        <f>IFERROR(VLOOKUP(B43,'Loan Master'!A5:S52,15,FALSE()),"")</f>
        <v/>
      </c>
      <c r="G43" s="89" t="str">
        <f>IFERROR(IF(VLOOKUP(B43,'Loan Master'!A5:S52,5,FALSE())="Direct",0,VLOOKUP(B43,'Loan Master'!A5:S52,16,FALSE())),"")</f>
        <v/>
      </c>
      <c r="H43" s="89" t="str">
        <f>IFERROR(VLOOKUP(B43,'Loan Master'!A5:S52,17,FALSE()),"")</f>
        <v/>
      </c>
      <c r="I43" s="96"/>
      <c r="J43" s="97"/>
      <c r="K43" s="100"/>
      <c r="L43" s="92" t="str">
        <f t="shared" si="2"/>
        <v/>
      </c>
      <c r="M43" s="82" t="str">
        <f t="shared" si="3"/>
        <v/>
      </c>
    </row>
    <row r="44" ht="15.0" customHeight="1">
      <c r="A44" s="36" t="str">
        <f t="shared" si="1"/>
        <v/>
      </c>
      <c r="B44" s="37"/>
      <c r="C44" s="75" t="str">
        <f>IFERROR(VLOOKUP(B44,'Loan Master'!A5:S52,2,FALSE()),"")</f>
        <v/>
      </c>
      <c r="D44" s="37"/>
      <c r="E44" s="61"/>
      <c r="F44" s="77" t="str">
        <f>IFERROR(VLOOKUP(B44,'Loan Master'!A5:S52,15,FALSE()),"")</f>
        <v/>
      </c>
      <c r="G44" s="39" t="str">
        <f>IFERROR(IF(VLOOKUP(B44,'Loan Master'!A5:S52,5,FALSE())="Direct",0,VLOOKUP(B44,'Loan Master'!A5:S52,16,FALSE())),"")</f>
        <v/>
      </c>
      <c r="H44" s="39" t="str">
        <f>IFERROR(VLOOKUP(B44,'Loan Master'!A5:S52,17,FALSE()),"")</f>
        <v/>
      </c>
      <c r="I44" s="95"/>
      <c r="J44" s="98"/>
      <c r="K44" s="44"/>
      <c r="L44" s="81" t="str">
        <f t="shared" si="2"/>
        <v/>
      </c>
      <c r="M44" s="82" t="str">
        <f t="shared" si="3"/>
        <v/>
      </c>
    </row>
    <row r="45" ht="15.0" customHeight="1">
      <c r="A45" s="83" t="str">
        <f t="shared" si="1"/>
        <v/>
      </c>
      <c r="B45" s="99"/>
      <c r="C45" s="85" t="str">
        <f>IFERROR(VLOOKUP(B45,'Loan Master'!A5:S52,2,FALSE()),"")</f>
        <v/>
      </c>
      <c r="D45" s="99"/>
      <c r="E45" s="87"/>
      <c r="F45" s="88" t="str">
        <f>IFERROR(VLOOKUP(B45,'Loan Master'!A5:S52,15,FALSE()),"")</f>
        <v/>
      </c>
      <c r="G45" s="89" t="str">
        <f>IFERROR(IF(VLOOKUP(B45,'Loan Master'!A5:S52,5,FALSE())="Direct",0,VLOOKUP(B45,'Loan Master'!A5:S52,16,FALSE())),"")</f>
        <v/>
      </c>
      <c r="H45" s="89" t="str">
        <f>IFERROR(VLOOKUP(B45,'Loan Master'!A5:S52,17,FALSE()),"")</f>
        <v/>
      </c>
      <c r="I45" s="96"/>
      <c r="J45" s="97"/>
      <c r="K45" s="100"/>
      <c r="L45" s="92" t="str">
        <f t="shared" si="2"/>
        <v/>
      </c>
      <c r="M45" s="82" t="str">
        <f t="shared" si="3"/>
        <v/>
      </c>
    </row>
    <row r="46" ht="15.0" customHeight="1">
      <c r="A46" s="36" t="str">
        <f t="shared" si="1"/>
        <v/>
      </c>
      <c r="B46" s="37"/>
      <c r="C46" s="75" t="str">
        <f>IFERROR(VLOOKUP(B46,'Loan Master'!A5:S52,2,FALSE()),"")</f>
        <v/>
      </c>
      <c r="D46" s="37"/>
      <c r="E46" s="61"/>
      <c r="F46" s="77" t="str">
        <f>IFERROR(VLOOKUP(B46,'Loan Master'!A5:S52,15,FALSE()),"")</f>
        <v/>
      </c>
      <c r="G46" s="39" t="str">
        <f>IFERROR(IF(VLOOKUP(B46,'Loan Master'!A5:S52,5,FALSE())="Direct",0,VLOOKUP(B46,'Loan Master'!A5:S52,16,FALSE())),"")</f>
        <v/>
      </c>
      <c r="H46" s="39" t="str">
        <f>IFERROR(VLOOKUP(B46,'Loan Master'!A5:S52,17,FALSE()),"")</f>
        <v/>
      </c>
      <c r="I46" s="95"/>
      <c r="J46" s="98"/>
      <c r="K46" s="44"/>
      <c r="L46" s="81" t="str">
        <f t="shared" si="2"/>
        <v/>
      </c>
      <c r="M46" s="82" t="str">
        <f t="shared" si="3"/>
        <v/>
      </c>
    </row>
    <row r="47" ht="15.0" customHeight="1">
      <c r="A47" s="83" t="str">
        <f t="shared" si="1"/>
        <v/>
      </c>
      <c r="B47" s="99"/>
      <c r="C47" s="85" t="str">
        <f>IFERROR(VLOOKUP(B47,'Loan Master'!A5:S52,2,FALSE()),"")</f>
        <v/>
      </c>
      <c r="D47" s="99"/>
      <c r="E47" s="87"/>
      <c r="F47" s="88" t="str">
        <f>IFERROR(VLOOKUP(B47,'Loan Master'!A5:S52,15,FALSE()),"")</f>
        <v/>
      </c>
      <c r="G47" s="89" t="str">
        <f>IFERROR(IF(VLOOKUP(B47,'Loan Master'!A5:S52,5,FALSE())="Direct",0,VLOOKUP(B47,'Loan Master'!A5:S52,16,FALSE())),"")</f>
        <v/>
      </c>
      <c r="H47" s="89" t="str">
        <f>IFERROR(VLOOKUP(B47,'Loan Master'!A5:S52,17,FALSE()),"")</f>
        <v/>
      </c>
      <c r="I47" s="96"/>
      <c r="J47" s="97"/>
      <c r="K47" s="100"/>
      <c r="L47" s="92" t="str">
        <f t="shared" si="2"/>
        <v/>
      </c>
      <c r="M47" s="82" t="str">
        <f t="shared" si="3"/>
        <v/>
      </c>
    </row>
    <row r="48" ht="15.0" customHeight="1">
      <c r="A48" s="36" t="str">
        <f t="shared" si="1"/>
        <v/>
      </c>
      <c r="B48" s="37"/>
      <c r="C48" s="75" t="str">
        <f>IFERROR(VLOOKUP(B48,'Loan Master'!A5:S52,2,FALSE()),"")</f>
        <v/>
      </c>
      <c r="D48" s="37"/>
      <c r="E48" s="61"/>
      <c r="F48" s="77" t="str">
        <f>IFERROR(VLOOKUP(B48,'Loan Master'!A5:S52,15,FALSE()),"")</f>
        <v/>
      </c>
      <c r="G48" s="39" t="str">
        <f>IFERROR(IF(VLOOKUP(B48,'Loan Master'!A5:S52,5,FALSE())="Direct",0,VLOOKUP(B48,'Loan Master'!A5:S52,16,FALSE())),"")</f>
        <v/>
      </c>
      <c r="H48" s="39" t="str">
        <f>IFERROR(VLOOKUP(B48,'Loan Master'!A5:S52,17,FALSE()),"")</f>
        <v/>
      </c>
      <c r="I48" s="95"/>
      <c r="J48" s="98"/>
      <c r="K48" s="44"/>
      <c r="L48" s="81" t="str">
        <f t="shared" si="2"/>
        <v/>
      </c>
      <c r="M48" s="82" t="str">
        <f t="shared" si="3"/>
        <v/>
      </c>
    </row>
    <row r="49" ht="15.0" customHeight="1">
      <c r="A49" s="83" t="str">
        <f t="shared" si="1"/>
        <v/>
      </c>
      <c r="B49" s="99"/>
      <c r="C49" s="85" t="str">
        <f>IFERROR(VLOOKUP(B49,'Loan Master'!A5:S52,2,FALSE()),"")</f>
        <v/>
      </c>
      <c r="D49" s="99"/>
      <c r="E49" s="87"/>
      <c r="F49" s="88" t="str">
        <f>IFERROR(VLOOKUP(B49,'Loan Master'!A5:S52,15,FALSE()),"")</f>
        <v/>
      </c>
      <c r="G49" s="89" t="str">
        <f>IFERROR(IF(VLOOKUP(B49,'Loan Master'!A5:S52,5,FALSE())="Direct",0,VLOOKUP(B49,'Loan Master'!A5:S52,16,FALSE())),"")</f>
        <v/>
      </c>
      <c r="H49" s="89" t="str">
        <f>IFERROR(VLOOKUP(B49,'Loan Master'!A5:S52,17,FALSE()),"")</f>
        <v/>
      </c>
      <c r="I49" s="96"/>
      <c r="J49" s="97"/>
      <c r="K49" s="100"/>
      <c r="L49" s="92" t="str">
        <f t="shared" si="2"/>
        <v/>
      </c>
      <c r="M49" s="82" t="str">
        <f t="shared" si="3"/>
        <v/>
      </c>
    </row>
    <row r="50" ht="15.0" customHeight="1">
      <c r="A50" s="36" t="str">
        <f t="shared" si="1"/>
        <v/>
      </c>
      <c r="B50" s="37"/>
      <c r="C50" s="75" t="str">
        <f>IFERROR(VLOOKUP(B50,'Loan Master'!A5:S52,2,FALSE()),"")</f>
        <v/>
      </c>
      <c r="D50" s="37"/>
      <c r="E50" s="61"/>
      <c r="F50" s="77" t="str">
        <f>IFERROR(VLOOKUP(B50,'Loan Master'!A5:S52,15,FALSE()),"")</f>
        <v/>
      </c>
      <c r="G50" s="39" t="str">
        <f>IFERROR(IF(VLOOKUP(B50,'Loan Master'!A5:S52,5,FALSE())="Direct",0,VLOOKUP(B50,'Loan Master'!A5:S52,16,FALSE())),"")</f>
        <v/>
      </c>
      <c r="H50" s="39" t="str">
        <f>IFERROR(VLOOKUP(B50,'Loan Master'!A5:S52,17,FALSE()),"")</f>
        <v/>
      </c>
      <c r="I50" s="95"/>
      <c r="J50" s="98"/>
      <c r="K50" s="44"/>
      <c r="L50" s="81" t="str">
        <f t="shared" si="2"/>
        <v/>
      </c>
      <c r="M50" s="82" t="str">
        <f t="shared" si="3"/>
        <v/>
      </c>
    </row>
    <row r="51" ht="15.0" customHeight="1">
      <c r="A51" s="83" t="str">
        <f t="shared" si="1"/>
        <v/>
      </c>
      <c r="B51" s="99"/>
      <c r="C51" s="85" t="str">
        <f>IFERROR(VLOOKUP(B51,'Loan Master'!A5:S52,2,FALSE()),"")</f>
        <v/>
      </c>
      <c r="D51" s="99"/>
      <c r="E51" s="87"/>
      <c r="F51" s="88" t="str">
        <f>IFERROR(VLOOKUP(B51,'Loan Master'!A5:S52,15,FALSE()),"")</f>
        <v/>
      </c>
      <c r="G51" s="89" t="str">
        <f>IFERROR(IF(VLOOKUP(B51,'Loan Master'!A5:S52,5,FALSE())="Direct",0,VLOOKUP(B51,'Loan Master'!A5:S52,16,FALSE())),"")</f>
        <v/>
      </c>
      <c r="H51" s="89" t="str">
        <f>IFERROR(VLOOKUP(B51,'Loan Master'!A5:S52,17,FALSE()),"")</f>
        <v/>
      </c>
      <c r="I51" s="96"/>
      <c r="J51" s="97"/>
      <c r="K51" s="100"/>
      <c r="L51" s="92" t="str">
        <f t="shared" si="2"/>
        <v/>
      </c>
      <c r="M51" s="82" t="str">
        <f t="shared" si="3"/>
        <v/>
      </c>
    </row>
    <row r="52" ht="15.0" customHeight="1">
      <c r="A52" s="36" t="str">
        <f t="shared" si="1"/>
        <v/>
      </c>
      <c r="B52" s="37"/>
      <c r="C52" s="75" t="str">
        <f>IFERROR(VLOOKUP(B52,'Loan Master'!A5:S52,2,FALSE()),"")</f>
        <v/>
      </c>
      <c r="D52" s="37"/>
      <c r="E52" s="61"/>
      <c r="F52" s="77" t="str">
        <f>IFERROR(VLOOKUP(B52,'Loan Master'!A5:S52,15,FALSE()),"")</f>
        <v/>
      </c>
      <c r="G52" s="39" t="str">
        <f>IFERROR(IF(VLOOKUP(B52,'Loan Master'!A5:S52,5,FALSE())="Direct",0,VLOOKUP(B52,'Loan Master'!A5:S52,16,FALSE())),"")</f>
        <v/>
      </c>
      <c r="H52" s="39" t="str">
        <f>IFERROR(VLOOKUP(B52,'Loan Master'!A5:S52,17,FALSE()),"")</f>
        <v/>
      </c>
      <c r="I52" s="95"/>
      <c r="J52" s="98"/>
      <c r="K52" s="44"/>
      <c r="L52" s="81" t="str">
        <f t="shared" si="2"/>
        <v/>
      </c>
      <c r="M52" s="82" t="str">
        <f t="shared" si="3"/>
        <v/>
      </c>
    </row>
    <row r="53" ht="15.0" customHeight="1">
      <c r="A53" s="83" t="str">
        <f t="shared" si="1"/>
        <v/>
      </c>
      <c r="B53" s="99"/>
      <c r="C53" s="85" t="str">
        <f>IFERROR(VLOOKUP(B53,'Loan Master'!A5:S52,2,FALSE()),"")</f>
        <v/>
      </c>
      <c r="D53" s="99"/>
      <c r="E53" s="87"/>
      <c r="F53" s="88" t="str">
        <f>IFERROR(VLOOKUP(B53,'Loan Master'!A5:S52,15,FALSE()),"")</f>
        <v/>
      </c>
      <c r="G53" s="89" t="str">
        <f>IFERROR(IF(VLOOKUP(B53,'Loan Master'!A5:S52,5,FALSE())="Direct",0,VLOOKUP(B53,'Loan Master'!A5:S52,16,FALSE())),"")</f>
        <v/>
      </c>
      <c r="H53" s="89" t="str">
        <f>IFERROR(VLOOKUP(B53,'Loan Master'!A5:S52,17,FALSE()),"")</f>
        <v/>
      </c>
      <c r="I53" s="96"/>
      <c r="J53" s="97"/>
      <c r="K53" s="100"/>
      <c r="L53" s="92" t="str">
        <f t="shared" si="2"/>
        <v/>
      </c>
      <c r="M53" s="82" t="str">
        <f t="shared" si="3"/>
        <v/>
      </c>
    </row>
    <row r="54" ht="15.0" customHeight="1">
      <c r="A54" s="36" t="str">
        <f t="shared" si="1"/>
        <v/>
      </c>
      <c r="B54" s="37"/>
      <c r="C54" s="75" t="str">
        <f>IFERROR(VLOOKUP(B54,'Loan Master'!A5:S52,2,FALSE()),"")</f>
        <v/>
      </c>
      <c r="D54" s="37"/>
      <c r="E54" s="61"/>
      <c r="F54" s="77" t="str">
        <f>IFERROR(VLOOKUP(B54,'Loan Master'!A5:S52,15,FALSE()),"")</f>
        <v/>
      </c>
      <c r="G54" s="39" t="str">
        <f>IFERROR(IF(VLOOKUP(B54,'Loan Master'!A5:S52,5,FALSE())="Direct",0,VLOOKUP(B54,'Loan Master'!A5:S52,16,FALSE())),"")</f>
        <v/>
      </c>
      <c r="H54" s="39" t="str">
        <f>IFERROR(VLOOKUP(B54,'Loan Master'!A5:S52,17,FALSE()),"")</f>
        <v/>
      </c>
      <c r="I54" s="95"/>
      <c r="J54" s="98"/>
      <c r="K54" s="44"/>
      <c r="L54" s="81" t="str">
        <f t="shared" si="2"/>
        <v/>
      </c>
      <c r="M54" s="82" t="str">
        <f t="shared" si="3"/>
        <v/>
      </c>
    </row>
    <row r="55" ht="15.0" customHeight="1">
      <c r="A55" s="83" t="str">
        <f t="shared" si="1"/>
        <v/>
      </c>
      <c r="B55" s="99"/>
      <c r="C55" s="85" t="str">
        <f>IFERROR(VLOOKUP(B55,'Loan Master'!A5:S52,2,FALSE()),"")</f>
        <v/>
      </c>
      <c r="D55" s="99"/>
      <c r="E55" s="87"/>
      <c r="F55" s="88" t="str">
        <f>IFERROR(VLOOKUP(B55,'Loan Master'!A5:S52,15,FALSE()),"")</f>
        <v/>
      </c>
      <c r="G55" s="89" t="str">
        <f>IFERROR(IF(VLOOKUP(B55,'Loan Master'!A5:S52,5,FALSE())="Direct",0,VLOOKUP(B55,'Loan Master'!A5:S52,16,FALSE())),"")</f>
        <v/>
      </c>
      <c r="H55" s="89" t="str">
        <f>IFERROR(VLOOKUP(B55,'Loan Master'!A5:S52,17,FALSE()),"")</f>
        <v/>
      </c>
      <c r="I55" s="96"/>
      <c r="J55" s="97"/>
      <c r="K55" s="100"/>
      <c r="L55" s="92" t="str">
        <f t="shared" si="2"/>
        <v/>
      </c>
      <c r="M55" s="82" t="str">
        <f t="shared" si="3"/>
        <v/>
      </c>
    </row>
    <row r="56" ht="15.0" customHeight="1">
      <c r="A56" s="36" t="str">
        <f t="shared" si="1"/>
        <v/>
      </c>
      <c r="B56" s="37"/>
      <c r="C56" s="75" t="str">
        <f>IFERROR(VLOOKUP(B56,'Loan Master'!A5:S52,2,FALSE()),"")</f>
        <v/>
      </c>
      <c r="D56" s="37"/>
      <c r="E56" s="61"/>
      <c r="F56" s="77" t="str">
        <f>IFERROR(VLOOKUP(B56,'Loan Master'!A5:S52,15,FALSE()),"")</f>
        <v/>
      </c>
      <c r="G56" s="39" t="str">
        <f>IFERROR(IF(VLOOKUP(B56,'Loan Master'!A5:S52,5,FALSE())="Direct",0,VLOOKUP(B56,'Loan Master'!A5:S52,16,FALSE())),"")</f>
        <v/>
      </c>
      <c r="H56" s="39" t="str">
        <f>IFERROR(VLOOKUP(B56,'Loan Master'!A5:S52,17,FALSE()),"")</f>
        <v/>
      </c>
      <c r="I56" s="95"/>
      <c r="J56" s="98"/>
      <c r="K56" s="44"/>
      <c r="L56" s="81" t="str">
        <f t="shared" si="2"/>
        <v/>
      </c>
      <c r="M56" s="82" t="str">
        <f t="shared" si="3"/>
        <v/>
      </c>
    </row>
    <row r="57" ht="15.0" customHeight="1">
      <c r="A57" s="83" t="str">
        <f t="shared" si="1"/>
        <v/>
      </c>
      <c r="B57" s="99"/>
      <c r="C57" s="85" t="str">
        <f>IFERROR(VLOOKUP(B57,'Loan Master'!A5:S52,2,FALSE()),"")</f>
        <v/>
      </c>
      <c r="D57" s="99"/>
      <c r="E57" s="87"/>
      <c r="F57" s="88" t="str">
        <f>IFERROR(VLOOKUP(B57,'Loan Master'!A5:S52,15,FALSE()),"")</f>
        <v/>
      </c>
      <c r="G57" s="89" t="str">
        <f>IFERROR(IF(VLOOKUP(B57,'Loan Master'!A5:S52,5,FALSE())="Direct",0,VLOOKUP(B57,'Loan Master'!A5:S52,16,FALSE())),"")</f>
        <v/>
      </c>
      <c r="H57" s="89" t="str">
        <f>IFERROR(VLOOKUP(B57,'Loan Master'!A5:S52,17,FALSE()),"")</f>
        <v/>
      </c>
      <c r="I57" s="96"/>
      <c r="J57" s="97"/>
      <c r="K57" s="100"/>
      <c r="L57" s="92" t="str">
        <f t="shared" si="2"/>
        <v/>
      </c>
      <c r="M57" s="82" t="str">
        <f t="shared" si="3"/>
        <v/>
      </c>
    </row>
    <row r="58" ht="15.0" customHeight="1">
      <c r="A58" s="36" t="str">
        <f t="shared" si="1"/>
        <v/>
      </c>
      <c r="B58" s="37"/>
      <c r="C58" s="75" t="str">
        <f>IFERROR(VLOOKUP(B58,'Loan Master'!A5:S52,2,FALSE()),"")</f>
        <v/>
      </c>
      <c r="D58" s="37"/>
      <c r="E58" s="61"/>
      <c r="F58" s="77" t="str">
        <f>IFERROR(VLOOKUP(B58,'Loan Master'!A5:S52,15,FALSE()),"")</f>
        <v/>
      </c>
      <c r="G58" s="39" t="str">
        <f>IFERROR(IF(VLOOKUP(B58,'Loan Master'!A5:S52,5,FALSE())="Direct",0,VLOOKUP(B58,'Loan Master'!A5:S52,16,FALSE())),"")</f>
        <v/>
      </c>
      <c r="H58" s="39" t="str">
        <f>IFERROR(VLOOKUP(B58,'Loan Master'!A5:S52,17,FALSE()),"")</f>
        <v/>
      </c>
      <c r="I58" s="95"/>
      <c r="J58" s="98"/>
      <c r="K58" s="44"/>
      <c r="L58" s="81" t="str">
        <f t="shared" si="2"/>
        <v/>
      </c>
      <c r="M58" s="82" t="str">
        <f t="shared" si="3"/>
        <v/>
      </c>
    </row>
    <row r="59" ht="15.0" customHeight="1">
      <c r="A59" s="83" t="str">
        <f t="shared" si="1"/>
        <v/>
      </c>
      <c r="B59" s="99"/>
      <c r="C59" s="85" t="str">
        <f>IFERROR(VLOOKUP(B59,'Loan Master'!A5:S52,2,FALSE()),"")</f>
        <v/>
      </c>
      <c r="D59" s="99"/>
      <c r="E59" s="87"/>
      <c r="F59" s="88" t="str">
        <f>IFERROR(VLOOKUP(B59,'Loan Master'!A5:S52,15,FALSE()),"")</f>
        <v/>
      </c>
      <c r="G59" s="89" t="str">
        <f>IFERROR(IF(VLOOKUP(B59,'Loan Master'!A5:S52,5,FALSE())="Direct",0,VLOOKUP(B59,'Loan Master'!A5:S52,16,FALSE())),"")</f>
        <v/>
      </c>
      <c r="H59" s="89" t="str">
        <f>IFERROR(VLOOKUP(B59,'Loan Master'!A5:S52,17,FALSE()),"")</f>
        <v/>
      </c>
      <c r="I59" s="96"/>
      <c r="J59" s="97"/>
      <c r="K59" s="100"/>
      <c r="L59" s="92" t="str">
        <f t="shared" si="2"/>
        <v/>
      </c>
      <c r="M59" s="82" t="str">
        <f t="shared" si="3"/>
        <v/>
      </c>
    </row>
    <row r="60" ht="15.0" customHeight="1">
      <c r="A60" s="36" t="str">
        <f t="shared" si="1"/>
        <v/>
      </c>
      <c r="B60" s="37"/>
      <c r="C60" s="75" t="str">
        <f>IFERROR(VLOOKUP(B60,'Loan Master'!A5:S52,2,FALSE()),"")</f>
        <v/>
      </c>
      <c r="D60" s="37"/>
      <c r="E60" s="61"/>
      <c r="F60" s="77" t="str">
        <f>IFERROR(VLOOKUP(B60,'Loan Master'!A5:S52,15,FALSE()),"")</f>
        <v/>
      </c>
      <c r="G60" s="39" t="str">
        <f>IFERROR(IF(VLOOKUP(B60,'Loan Master'!A5:S52,5,FALSE())="Direct",0,VLOOKUP(B60,'Loan Master'!A5:S52,16,FALSE())),"")</f>
        <v/>
      </c>
      <c r="H60" s="39" t="str">
        <f>IFERROR(VLOOKUP(B60,'Loan Master'!A5:S52,17,FALSE()),"")</f>
        <v/>
      </c>
      <c r="I60" s="95"/>
      <c r="J60" s="98"/>
      <c r="K60" s="44"/>
      <c r="L60" s="81" t="str">
        <f t="shared" si="2"/>
        <v/>
      </c>
      <c r="M60" s="82" t="str">
        <f t="shared" si="3"/>
        <v/>
      </c>
    </row>
    <row r="61" ht="15.0" customHeight="1">
      <c r="A61" s="83" t="str">
        <f t="shared" si="1"/>
        <v/>
      </c>
      <c r="B61" s="99"/>
      <c r="C61" s="85" t="str">
        <f>IFERROR(VLOOKUP(B61,'Loan Master'!A5:S52,2,FALSE()),"")</f>
        <v/>
      </c>
      <c r="D61" s="99"/>
      <c r="E61" s="87"/>
      <c r="F61" s="88" t="str">
        <f>IFERROR(VLOOKUP(B61,'Loan Master'!A5:S52,15,FALSE()),"")</f>
        <v/>
      </c>
      <c r="G61" s="89" t="str">
        <f>IFERROR(IF(VLOOKUP(B61,'Loan Master'!A5:S52,5,FALSE())="Direct",0,VLOOKUP(B61,'Loan Master'!A5:S52,16,FALSE())),"")</f>
        <v/>
      </c>
      <c r="H61" s="89" t="str">
        <f>IFERROR(VLOOKUP(B61,'Loan Master'!A5:S52,17,FALSE()),"")</f>
        <v/>
      </c>
      <c r="I61" s="96"/>
      <c r="J61" s="97"/>
      <c r="K61" s="100"/>
      <c r="L61" s="92" t="str">
        <f t="shared" si="2"/>
        <v/>
      </c>
      <c r="M61" s="82" t="str">
        <f t="shared" si="3"/>
        <v/>
      </c>
    </row>
    <row r="62" ht="15.0" customHeight="1">
      <c r="A62" s="36" t="str">
        <f t="shared" si="1"/>
        <v/>
      </c>
      <c r="B62" s="37"/>
      <c r="C62" s="75" t="str">
        <f>IFERROR(VLOOKUP(B62,'Loan Master'!A5:S52,2,FALSE()),"")</f>
        <v/>
      </c>
      <c r="D62" s="37"/>
      <c r="E62" s="61"/>
      <c r="F62" s="77" t="str">
        <f>IFERROR(VLOOKUP(B62,'Loan Master'!A5:S52,15,FALSE()),"")</f>
        <v/>
      </c>
      <c r="G62" s="39" t="str">
        <f>IFERROR(IF(VLOOKUP(B62,'Loan Master'!A5:S52,5,FALSE())="Direct",0,VLOOKUP(B62,'Loan Master'!A5:S52,16,FALSE())),"")</f>
        <v/>
      </c>
      <c r="H62" s="39" t="str">
        <f>IFERROR(VLOOKUP(B62,'Loan Master'!A5:S52,17,FALSE()),"")</f>
        <v/>
      </c>
      <c r="I62" s="95"/>
      <c r="J62" s="98"/>
      <c r="K62" s="44"/>
      <c r="L62" s="81" t="str">
        <f t="shared" si="2"/>
        <v/>
      </c>
      <c r="M62" s="82" t="str">
        <f t="shared" si="3"/>
        <v/>
      </c>
    </row>
    <row r="63" ht="15.0" customHeight="1">
      <c r="A63" s="83" t="str">
        <f t="shared" si="1"/>
        <v/>
      </c>
      <c r="B63" s="99"/>
      <c r="C63" s="85" t="str">
        <f>IFERROR(VLOOKUP(B63,'Loan Master'!A5:S52,2,FALSE()),"")</f>
        <v/>
      </c>
      <c r="D63" s="99"/>
      <c r="E63" s="87"/>
      <c r="F63" s="88" t="str">
        <f>IFERROR(VLOOKUP(B63,'Loan Master'!A5:S52,15,FALSE()),"")</f>
        <v/>
      </c>
      <c r="G63" s="89" t="str">
        <f>IFERROR(IF(VLOOKUP(B63,'Loan Master'!A5:S52,5,FALSE())="Direct",0,VLOOKUP(B63,'Loan Master'!A5:S52,16,FALSE())),"")</f>
        <v/>
      </c>
      <c r="H63" s="89" t="str">
        <f>IFERROR(VLOOKUP(B63,'Loan Master'!A5:S52,17,FALSE()),"")</f>
        <v/>
      </c>
      <c r="I63" s="96"/>
      <c r="J63" s="97"/>
      <c r="K63" s="100"/>
      <c r="L63" s="92" t="str">
        <f t="shared" si="2"/>
        <v/>
      </c>
      <c r="M63" s="82" t="str">
        <f t="shared" si="3"/>
        <v/>
      </c>
    </row>
    <row r="64" ht="15.0" customHeight="1">
      <c r="A64" s="36" t="str">
        <f t="shared" si="1"/>
        <v/>
      </c>
      <c r="B64" s="37"/>
      <c r="C64" s="75" t="str">
        <f>IFERROR(VLOOKUP(B64,'Loan Master'!A5:S52,2,FALSE()),"")</f>
        <v/>
      </c>
      <c r="D64" s="37"/>
      <c r="E64" s="61"/>
      <c r="F64" s="77" t="str">
        <f>IFERROR(VLOOKUP(B64,'Loan Master'!A5:S52,15,FALSE()),"")</f>
        <v/>
      </c>
      <c r="G64" s="39" t="str">
        <f>IFERROR(IF(VLOOKUP(B64,'Loan Master'!A5:S52,5,FALSE())="Direct",0,VLOOKUP(B64,'Loan Master'!A5:S52,16,FALSE())),"")</f>
        <v/>
      </c>
      <c r="H64" s="39" t="str">
        <f>IFERROR(VLOOKUP(B64,'Loan Master'!A5:S52,17,FALSE()),"")</f>
        <v/>
      </c>
      <c r="I64" s="95"/>
      <c r="J64" s="98"/>
      <c r="K64" s="44"/>
      <c r="L64" s="81" t="str">
        <f t="shared" si="2"/>
        <v/>
      </c>
      <c r="M64" s="82" t="str">
        <f t="shared" si="3"/>
        <v/>
      </c>
    </row>
    <row r="65" ht="15.0" customHeight="1">
      <c r="A65" s="83" t="str">
        <f t="shared" si="1"/>
        <v/>
      </c>
      <c r="B65" s="99"/>
      <c r="C65" s="85" t="str">
        <f>IFERROR(VLOOKUP(B65,'Loan Master'!A5:S52,2,FALSE()),"")</f>
        <v/>
      </c>
      <c r="D65" s="99"/>
      <c r="E65" s="87"/>
      <c r="F65" s="88" t="str">
        <f>IFERROR(VLOOKUP(B65,'Loan Master'!A5:S52,15,FALSE()),"")</f>
        <v/>
      </c>
      <c r="G65" s="89" t="str">
        <f>IFERROR(IF(VLOOKUP(B65,'Loan Master'!A5:S52,5,FALSE())="Direct",0,VLOOKUP(B65,'Loan Master'!A5:S52,16,FALSE())),"")</f>
        <v/>
      </c>
      <c r="H65" s="89" t="str">
        <f>IFERROR(VLOOKUP(B65,'Loan Master'!A5:S52,17,FALSE()),"")</f>
        <v/>
      </c>
      <c r="I65" s="96"/>
      <c r="J65" s="97"/>
      <c r="K65" s="100"/>
      <c r="L65" s="92" t="str">
        <f t="shared" si="2"/>
        <v/>
      </c>
      <c r="M65" s="82" t="str">
        <f t="shared" si="3"/>
        <v/>
      </c>
    </row>
    <row r="66" ht="15.0" customHeight="1">
      <c r="A66" s="36" t="str">
        <f t="shared" si="1"/>
        <v/>
      </c>
      <c r="B66" s="37"/>
      <c r="C66" s="75" t="str">
        <f>IFERROR(VLOOKUP(B66,'Loan Master'!A5:S52,2,FALSE()),"")</f>
        <v/>
      </c>
      <c r="D66" s="37"/>
      <c r="E66" s="61"/>
      <c r="F66" s="77" t="str">
        <f>IFERROR(VLOOKUP(B66,'Loan Master'!A5:S52,15,FALSE()),"")</f>
        <v/>
      </c>
      <c r="G66" s="39" t="str">
        <f>IFERROR(IF(VLOOKUP(B66,'Loan Master'!A5:S52,5,FALSE())="Direct",0,VLOOKUP(B66,'Loan Master'!A5:S52,16,FALSE())),"")</f>
        <v/>
      </c>
      <c r="H66" s="39" t="str">
        <f>IFERROR(VLOOKUP(B66,'Loan Master'!A5:S52,17,FALSE()),"")</f>
        <v/>
      </c>
      <c r="I66" s="95"/>
      <c r="J66" s="98"/>
      <c r="K66" s="44"/>
      <c r="L66" s="81" t="str">
        <f t="shared" si="2"/>
        <v/>
      </c>
      <c r="M66" s="82" t="str">
        <f t="shared" si="3"/>
        <v/>
      </c>
    </row>
    <row r="67" ht="15.0" customHeight="1">
      <c r="A67" s="83" t="str">
        <f t="shared" si="1"/>
        <v/>
      </c>
      <c r="B67" s="99"/>
      <c r="C67" s="85" t="str">
        <f>IFERROR(VLOOKUP(B67,'Loan Master'!A5:S52,2,FALSE()),"")</f>
        <v/>
      </c>
      <c r="D67" s="99"/>
      <c r="E67" s="87"/>
      <c r="F67" s="88" t="str">
        <f>IFERROR(VLOOKUP(B67,'Loan Master'!A5:S52,15,FALSE()),"")</f>
        <v/>
      </c>
      <c r="G67" s="89" t="str">
        <f>IFERROR(IF(VLOOKUP(B67,'Loan Master'!A5:S52,5,FALSE())="Direct",0,VLOOKUP(B67,'Loan Master'!A5:S52,16,FALSE())),"")</f>
        <v/>
      </c>
      <c r="H67" s="89" t="str">
        <f>IFERROR(VLOOKUP(B67,'Loan Master'!A5:S52,17,FALSE()),"")</f>
        <v/>
      </c>
      <c r="I67" s="96"/>
      <c r="J67" s="97"/>
      <c r="K67" s="100"/>
      <c r="L67" s="92" t="str">
        <f t="shared" si="2"/>
        <v/>
      </c>
      <c r="M67" s="82" t="str">
        <f t="shared" si="3"/>
        <v/>
      </c>
    </row>
    <row r="68" ht="15.0" customHeight="1">
      <c r="A68" s="36" t="str">
        <f t="shared" si="1"/>
        <v/>
      </c>
      <c r="B68" s="37"/>
      <c r="C68" s="75" t="str">
        <f>IFERROR(VLOOKUP(B68,'Loan Master'!A5:S52,2,FALSE()),"")</f>
        <v/>
      </c>
      <c r="D68" s="37"/>
      <c r="E68" s="61"/>
      <c r="F68" s="77" t="str">
        <f>IFERROR(VLOOKUP(B68,'Loan Master'!A5:S52,15,FALSE()),"")</f>
        <v/>
      </c>
      <c r="G68" s="39" t="str">
        <f>IFERROR(IF(VLOOKUP(B68,'Loan Master'!A5:S52,5,FALSE())="Direct",0,VLOOKUP(B68,'Loan Master'!A5:S52,16,FALSE())),"")</f>
        <v/>
      </c>
      <c r="H68" s="39" t="str">
        <f>IFERROR(VLOOKUP(B68,'Loan Master'!A5:S52,17,FALSE()),"")</f>
        <v/>
      </c>
      <c r="I68" s="95"/>
      <c r="J68" s="98"/>
      <c r="K68" s="44"/>
      <c r="L68" s="81" t="str">
        <f t="shared" si="2"/>
        <v/>
      </c>
      <c r="M68" s="82" t="str">
        <f t="shared" si="3"/>
        <v/>
      </c>
    </row>
    <row r="69" ht="15.0" customHeight="1">
      <c r="A69" s="83" t="str">
        <f t="shared" si="1"/>
        <v/>
      </c>
      <c r="B69" s="99"/>
      <c r="C69" s="85" t="str">
        <f>IFERROR(VLOOKUP(B69,'Loan Master'!A5:S52,2,FALSE()),"")</f>
        <v/>
      </c>
      <c r="D69" s="99"/>
      <c r="E69" s="87"/>
      <c r="F69" s="88" t="str">
        <f>IFERROR(VLOOKUP(B69,'Loan Master'!A5:S52,15,FALSE()),"")</f>
        <v/>
      </c>
      <c r="G69" s="89" t="str">
        <f>IFERROR(IF(VLOOKUP(B69,'Loan Master'!A5:S52,5,FALSE())="Direct",0,VLOOKUP(B69,'Loan Master'!A5:S52,16,FALSE())),"")</f>
        <v/>
      </c>
      <c r="H69" s="89" t="str">
        <f>IFERROR(VLOOKUP(B69,'Loan Master'!A5:S52,17,FALSE()),"")</f>
        <v/>
      </c>
      <c r="I69" s="96"/>
      <c r="J69" s="97"/>
      <c r="K69" s="100"/>
      <c r="L69" s="92" t="str">
        <f t="shared" si="2"/>
        <v/>
      </c>
      <c r="M69" s="82" t="str">
        <f t="shared" si="3"/>
        <v/>
      </c>
    </row>
    <row r="70" ht="15.0" customHeight="1">
      <c r="A70" s="36" t="str">
        <f t="shared" si="1"/>
        <v/>
      </c>
      <c r="B70" s="37"/>
      <c r="C70" s="75" t="str">
        <f>IFERROR(VLOOKUP(B70,'Loan Master'!A5:S52,2,FALSE()),"")</f>
        <v/>
      </c>
      <c r="D70" s="37"/>
      <c r="E70" s="61"/>
      <c r="F70" s="77" t="str">
        <f>IFERROR(VLOOKUP(B70,'Loan Master'!A5:S52,15,FALSE()),"")</f>
        <v/>
      </c>
      <c r="G70" s="39" t="str">
        <f>IFERROR(IF(VLOOKUP(B70,'Loan Master'!A5:S52,5,FALSE())="Direct",0,VLOOKUP(B70,'Loan Master'!A5:S52,16,FALSE())),"")</f>
        <v/>
      </c>
      <c r="H70" s="39" t="str">
        <f>IFERROR(VLOOKUP(B70,'Loan Master'!A5:S52,17,FALSE()),"")</f>
        <v/>
      </c>
      <c r="I70" s="95"/>
      <c r="J70" s="98"/>
      <c r="K70" s="44"/>
      <c r="L70" s="81" t="str">
        <f t="shared" si="2"/>
        <v/>
      </c>
      <c r="M70" s="82" t="str">
        <f t="shared" si="3"/>
        <v/>
      </c>
    </row>
    <row r="71" ht="15.0" customHeight="1">
      <c r="A71" s="83" t="str">
        <f t="shared" si="1"/>
        <v/>
      </c>
      <c r="B71" s="99"/>
      <c r="C71" s="85" t="str">
        <f>IFERROR(VLOOKUP(B71,'Loan Master'!A5:S52,2,FALSE()),"")</f>
        <v/>
      </c>
      <c r="D71" s="99"/>
      <c r="E71" s="87"/>
      <c r="F71" s="88" t="str">
        <f>IFERROR(VLOOKUP(B71,'Loan Master'!A5:S52,15,FALSE()),"")</f>
        <v/>
      </c>
      <c r="G71" s="89" t="str">
        <f>IFERROR(IF(VLOOKUP(B71,'Loan Master'!A5:S52,5,FALSE())="Direct",0,VLOOKUP(B71,'Loan Master'!A5:S52,16,FALSE())),"")</f>
        <v/>
      </c>
      <c r="H71" s="89" t="str">
        <f>IFERROR(VLOOKUP(B71,'Loan Master'!A5:S52,17,FALSE()),"")</f>
        <v/>
      </c>
      <c r="I71" s="96"/>
      <c r="J71" s="97"/>
      <c r="K71" s="100"/>
      <c r="L71" s="92" t="str">
        <f t="shared" si="2"/>
        <v/>
      </c>
      <c r="M71" s="82" t="str">
        <f t="shared" si="3"/>
        <v/>
      </c>
    </row>
    <row r="72" ht="15.0" customHeight="1">
      <c r="A72" s="36" t="str">
        <f t="shared" si="1"/>
        <v/>
      </c>
      <c r="B72" s="37"/>
      <c r="C72" s="75" t="str">
        <f>IFERROR(VLOOKUP(B72,'Loan Master'!A5:S52,2,FALSE()),"")</f>
        <v/>
      </c>
      <c r="D72" s="37"/>
      <c r="E72" s="61"/>
      <c r="F72" s="77" t="str">
        <f>IFERROR(VLOOKUP(B72,'Loan Master'!A5:S52,15,FALSE()),"")</f>
        <v/>
      </c>
      <c r="G72" s="39" t="str">
        <f>IFERROR(IF(VLOOKUP(B72,'Loan Master'!A5:S52,5,FALSE())="Direct",0,VLOOKUP(B72,'Loan Master'!A5:S52,16,FALSE())),"")</f>
        <v/>
      </c>
      <c r="H72" s="39" t="str">
        <f>IFERROR(VLOOKUP(B72,'Loan Master'!A5:S52,17,FALSE()),"")</f>
        <v/>
      </c>
      <c r="I72" s="95"/>
      <c r="J72" s="98"/>
      <c r="K72" s="44"/>
      <c r="L72" s="81" t="str">
        <f t="shared" si="2"/>
        <v/>
      </c>
      <c r="M72" s="82" t="str">
        <f t="shared" si="3"/>
        <v/>
      </c>
    </row>
    <row r="73" ht="15.0" customHeight="1">
      <c r="A73" s="83" t="str">
        <f t="shared" si="1"/>
        <v/>
      </c>
      <c r="B73" s="99"/>
      <c r="C73" s="85" t="str">
        <f>IFERROR(VLOOKUP(B73,'Loan Master'!A5:S52,2,FALSE()),"")</f>
        <v/>
      </c>
      <c r="D73" s="99"/>
      <c r="E73" s="87"/>
      <c r="F73" s="88" t="str">
        <f>IFERROR(VLOOKUP(B73,'Loan Master'!A5:S52,15,FALSE()),"")</f>
        <v/>
      </c>
      <c r="G73" s="89" t="str">
        <f>IFERROR(IF(VLOOKUP(B73,'Loan Master'!A5:S52,5,FALSE())="Direct",0,VLOOKUP(B73,'Loan Master'!A5:S52,16,FALSE())),"")</f>
        <v/>
      </c>
      <c r="H73" s="89" t="str">
        <f>IFERROR(VLOOKUP(B73,'Loan Master'!A5:S52,17,FALSE()),"")</f>
        <v/>
      </c>
      <c r="I73" s="96"/>
      <c r="J73" s="97"/>
      <c r="K73" s="100"/>
      <c r="L73" s="92" t="str">
        <f t="shared" si="2"/>
        <v/>
      </c>
      <c r="M73" s="82" t="str">
        <f t="shared" si="3"/>
        <v/>
      </c>
    </row>
    <row r="74" ht="15.0" customHeight="1">
      <c r="A74" s="36" t="str">
        <f t="shared" si="1"/>
        <v/>
      </c>
      <c r="B74" s="37"/>
      <c r="C74" s="75" t="str">
        <f>IFERROR(VLOOKUP(B74,'Loan Master'!A5:S52,2,FALSE()),"")</f>
        <v/>
      </c>
      <c r="D74" s="37"/>
      <c r="E74" s="61"/>
      <c r="F74" s="77" t="str">
        <f>IFERROR(VLOOKUP(B74,'Loan Master'!A5:S52,15,FALSE()),"")</f>
        <v/>
      </c>
      <c r="G74" s="39" t="str">
        <f>IFERROR(IF(VLOOKUP(B74,'Loan Master'!A5:S52,5,FALSE())="Direct",0,VLOOKUP(B74,'Loan Master'!A5:S52,16,FALSE())),"")</f>
        <v/>
      </c>
      <c r="H74" s="39" t="str">
        <f>IFERROR(VLOOKUP(B74,'Loan Master'!A5:S52,17,FALSE()),"")</f>
        <v/>
      </c>
      <c r="I74" s="95"/>
      <c r="J74" s="98"/>
      <c r="K74" s="44"/>
      <c r="L74" s="81" t="str">
        <f t="shared" si="2"/>
        <v/>
      </c>
      <c r="M74" s="82" t="str">
        <f t="shared" si="3"/>
        <v/>
      </c>
    </row>
    <row r="75" ht="15.0" customHeight="1">
      <c r="A75" s="83" t="str">
        <f t="shared" si="1"/>
        <v/>
      </c>
      <c r="B75" s="99"/>
      <c r="C75" s="85" t="str">
        <f>IFERROR(VLOOKUP(B75,'Loan Master'!A5:S52,2,FALSE()),"")</f>
        <v/>
      </c>
      <c r="D75" s="99"/>
      <c r="E75" s="87"/>
      <c r="F75" s="88" t="str">
        <f>IFERROR(VLOOKUP(B75,'Loan Master'!A5:S52,15,FALSE()),"")</f>
        <v/>
      </c>
      <c r="G75" s="89" t="str">
        <f>IFERROR(IF(VLOOKUP(B75,'Loan Master'!A5:S52,5,FALSE())="Direct",0,VLOOKUP(B75,'Loan Master'!A5:S52,16,FALSE())),"")</f>
        <v/>
      </c>
      <c r="H75" s="89" t="str">
        <f>IFERROR(VLOOKUP(B75,'Loan Master'!A5:S52,17,FALSE()),"")</f>
        <v/>
      </c>
      <c r="I75" s="96"/>
      <c r="J75" s="97"/>
      <c r="K75" s="100"/>
      <c r="L75" s="92" t="str">
        <f t="shared" si="2"/>
        <v/>
      </c>
      <c r="M75" s="82" t="str">
        <f t="shared" si="3"/>
        <v/>
      </c>
    </row>
    <row r="76" ht="15.0" customHeight="1">
      <c r="A76" s="36" t="str">
        <f t="shared" si="1"/>
        <v/>
      </c>
      <c r="B76" s="37"/>
      <c r="C76" s="75" t="str">
        <f>IFERROR(VLOOKUP(B76,'Loan Master'!A5:S52,2,FALSE()),"")</f>
        <v/>
      </c>
      <c r="D76" s="37"/>
      <c r="E76" s="61"/>
      <c r="F76" s="77" t="str">
        <f>IFERROR(VLOOKUP(B76,'Loan Master'!A5:S52,15,FALSE()),"")</f>
        <v/>
      </c>
      <c r="G76" s="39" t="str">
        <f>IFERROR(IF(VLOOKUP(B76,'Loan Master'!A5:S52,5,FALSE())="Direct",0,VLOOKUP(B76,'Loan Master'!A5:S52,16,FALSE())),"")</f>
        <v/>
      </c>
      <c r="H76" s="39" t="str">
        <f>IFERROR(VLOOKUP(B76,'Loan Master'!A5:S52,17,FALSE()),"")</f>
        <v/>
      </c>
      <c r="I76" s="95"/>
      <c r="J76" s="98"/>
      <c r="K76" s="44"/>
      <c r="L76" s="81" t="str">
        <f t="shared" si="2"/>
        <v/>
      </c>
      <c r="M76" s="82" t="str">
        <f t="shared" si="3"/>
        <v/>
      </c>
    </row>
    <row r="77" ht="15.0" customHeight="1">
      <c r="A77" s="83" t="str">
        <f t="shared" si="1"/>
        <v/>
      </c>
      <c r="B77" s="99"/>
      <c r="C77" s="85" t="str">
        <f>IFERROR(VLOOKUP(B77,'Loan Master'!A5:S52,2,FALSE()),"")</f>
        <v/>
      </c>
      <c r="D77" s="99"/>
      <c r="E77" s="87"/>
      <c r="F77" s="88" t="str">
        <f>IFERROR(VLOOKUP(B77,'Loan Master'!A5:S52,15,FALSE()),"")</f>
        <v/>
      </c>
      <c r="G77" s="89" t="str">
        <f>IFERROR(IF(VLOOKUP(B77,'Loan Master'!A5:S52,5,FALSE())="Direct",0,VLOOKUP(B77,'Loan Master'!A5:S52,16,FALSE())),"")</f>
        <v/>
      </c>
      <c r="H77" s="89" t="str">
        <f>IFERROR(VLOOKUP(B77,'Loan Master'!A5:S52,17,FALSE()),"")</f>
        <v/>
      </c>
      <c r="I77" s="96"/>
      <c r="J77" s="97"/>
      <c r="K77" s="100"/>
      <c r="L77" s="92" t="str">
        <f t="shared" si="2"/>
        <v/>
      </c>
      <c r="M77" s="82" t="str">
        <f t="shared" si="3"/>
        <v/>
      </c>
    </row>
    <row r="78" ht="15.0" customHeight="1">
      <c r="A78" s="36" t="str">
        <f t="shared" si="1"/>
        <v/>
      </c>
      <c r="B78" s="37"/>
      <c r="C78" s="75" t="str">
        <f>IFERROR(VLOOKUP(B78,'Loan Master'!A5:S52,2,FALSE()),"")</f>
        <v/>
      </c>
      <c r="D78" s="37"/>
      <c r="E78" s="61"/>
      <c r="F78" s="77" t="str">
        <f>IFERROR(VLOOKUP(B78,'Loan Master'!A5:S52,15,FALSE()),"")</f>
        <v/>
      </c>
      <c r="G78" s="39" t="str">
        <f>IFERROR(IF(VLOOKUP(B78,'Loan Master'!A5:S52,5,FALSE())="Direct",0,VLOOKUP(B78,'Loan Master'!A5:S52,16,FALSE())),"")</f>
        <v/>
      </c>
      <c r="H78" s="39" t="str">
        <f>IFERROR(VLOOKUP(B78,'Loan Master'!A5:S52,17,FALSE()),"")</f>
        <v/>
      </c>
      <c r="I78" s="95"/>
      <c r="J78" s="98"/>
      <c r="K78" s="44"/>
      <c r="L78" s="81" t="str">
        <f t="shared" si="2"/>
        <v/>
      </c>
      <c r="M78" s="82" t="str">
        <f t="shared" si="3"/>
        <v/>
      </c>
    </row>
    <row r="79" ht="15.0" customHeight="1">
      <c r="A79" s="83" t="str">
        <f t="shared" si="1"/>
        <v/>
      </c>
      <c r="B79" s="99"/>
      <c r="C79" s="85" t="str">
        <f>IFERROR(VLOOKUP(B79,'Loan Master'!A5:S52,2,FALSE()),"")</f>
        <v/>
      </c>
      <c r="D79" s="99"/>
      <c r="E79" s="87"/>
      <c r="F79" s="88" t="str">
        <f>IFERROR(VLOOKUP(B79,'Loan Master'!A5:S52,15,FALSE()),"")</f>
        <v/>
      </c>
      <c r="G79" s="89" t="str">
        <f>IFERROR(IF(VLOOKUP(B79,'Loan Master'!A5:S52,5,FALSE())="Direct",0,VLOOKUP(B79,'Loan Master'!A5:S52,16,FALSE())),"")</f>
        <v/>
      </c>
      <c r="H79" s="89" t="str">
        <f>IFERROR(VLOOKUP(B79,'Loan Master'!A5:S52,17,FALSE()),"")</f>
        <v/>
      </c>
      <c r="I79" s="96"/>
      <c r="J79" s="97"/>
      <c r="K79" s="100"/>
      <c r="L79" s="92" t="str">
        <f t="shared" si="2"/>
        <v/>
      </c>
      <c r="M79" s="82" t="str">
        <f t="shared" si="3"/>
        <v/>
      </c>
    </row>
    <row r="80" ht="15.0" customHeight="1">
      <c r="A80" s="36" t="str">
        <f t="shared" si="1"/>
        <v/>
      </c>
      <c r="B80" s="37"/>
      <c r="C80" s="75" t="str">
        <f>IFERROR(VLOOKUP(B80,'Loan Master'!A5:S52,2,FALSE()),"")</f>
        <v/>
      </c>
      <c r="D80" s="37"/>
      <c r="E80" s="61"/>
      <c r="F80" s="77" t="str">
        <f>IFERROR(VLOOKUP(B80,'Loan Master'!A5:S52,15,FALSE()),"")</f>
        <v/>
      </c>
      <c r="G80" s="39" t="str">
        <f>IFERROR(IF(VLOOKUP(B80,'Loan Master'!A5:S52,5,FALSE())="Direct",0,VLOOKUP(B80,'Loan Master'!A5:S52,16,FALSE())),"")</f>
        <v/>
      </c>
      <c r="H80" s="39" t="str">
        <f>IFERROR(VLOOKUP(B80,'Loan Master'!A5:S52,17,FALSE()),"")</f>
        <v/>
      </c>
      <c r="I80" s="95"/>
      <c r="J80" s="98"/>
      <c r="K80" s="44"/>
      <c r="L80" s="81" t="str">
        <f t="shared" si="2"/>
        <v/>
      </c>
      <c r="M80" s="82" t="str">
        <f t="shared" si="3"/>
        <v/>
      </c>
    </row>
    <row r="81" ht="15.0" customHeight="1">
      <c r="A81" s="83" t="str">
        <f t="shared" si="1"/>
        <v/>
      </c>
      <c r="B81" s="99"/>
      <c r="C81" s="85" t="str">
        <f>IFERROR(VLOOKUP(B81,'Loan Master'!A5:S52,2,FALSE()),"")</f>
        <v/>
      </c>
      <c r="D81" s="99"/>
      <c r="E81" s="87"/>
      <c r="F81" s="88" t="str">
        <f>IFERROR(VLOOKUP(B81,'Loan Master'!A5:S52,15,FALSE()),"")</f>
        <v/>
      </c>
      <c r="G81" s="89" t="str">
        <f>IFERROR(IF(VLOOKUP(B81,'Loan Master'!A5:S52,5,FALSE())="Direct",0,VLOOKUP(B81,'Loan Master'!A5:S52,16,FALSE())),"")</f>
        <v/>
      </c>
      <c r="H81" s="89" t="str">
        <f>IFERROR(VLOOKUP(B81,'Loan Master'!A5:S52,17,FALSE()),"")</f>
        <v/>
      </c>
      <c r="I81" s="96"/>
      <c r="J81" s="97"/>
      <c r="K81" s="100"/>
      <c r="L81" s="92" t="str">
        <f t="shared" si="2"/>
        <v/>
      </c>
      <c r="M81" s="82" t="str">
        <f t="shared" si="3"/>
        <v/>
      </c>
    </row>
    <row r="82" ht="15.0" customHeight="1">
      <c r="A82" s="36" t="str">
        <f t="shared" si="1"/>
        <v/>
      </c>
      <c r="B82" s="37"/>
      <c r="C82" s="75" t="str">
        <f>IFERROR(VLOOKUP(B82,'Loan Master'!A5:S52,2,FALSE()),"")</f>
        <v/>
      </c>
      <c r="D82" s="37"/>
      <c r="E82" s="61"/>
      <c r="F82" s="77" t="str">
        <f>IFERROR(VLOOKUP(B82,'Loan Master'!A5:S52,15,FALSE()),"")</f>
        <v/>
      </c>
      <c r="G82" s="39" t="str">
        <f>IFERROR(IF(VLOOKUP(B82,'Loan Master'!A5:S52,5,FALSE())="Direct",0,VLOOKUP(B82,'Loan Master'!A5:S52,16,FALSE())),"")</f>
        <v/>
      </c>
      <c r="H82" s="39" t="str">
        <f>IFERROR(VLOOKUP(B82,'Loan Master'!A5:S52,17,FALSE()),"")</f>
        <v/>
      </c>
      <c r="I82" s="95"/>
      <c r="J82" s="98"/>
      <c r="K82" s="44"/>
      <c r="L82" s="81" t="str">
        <f t="shared" si="2"/>
        <v/>
      </c>
      <c r="M82" s="82" t="str">
        <f t="shared" si="3"/>
        <v/>
      </c>
    </row>
    <row r="83" ht="15.0" customHeight="1">
      <c r="A83" s="83" t="str">
        <f t="shared" si="1"/>
        <v/>
      </c>
      <c r="B83" s="99"/>
      <c r="C83" s="85" t="str">
        <f>IFERROR(VLOOKUP(B83,'Loan Master'!A5:S52,2,FALSE()),"")</f>
        <v/>
      </c>
      <c r="D83" s="99"/>
      <c r="E83" s="87"/>
      <c r="F83" s="88" t="str">
        <f>IFERROR(VLOOKUP(B83,'Loan Master'!A5:S52,15,FALSE()),"")</f>
        <v/>
      </c>
      <c r="G83" s="89" t="str">
        <f>IFERROR(IF(VLOOKUP(B83,'Loan Master'!A5:S52,5,FALSE())="Direct",0,VLOOKUP(B83,'Loan Master'!A5:S52,16,FALSE())),"")</f>
        <v/>
      </c>
      <c r="H83" s="89" t="str">
        <f>IFERROR(VLOOKUP(B83,'Loan Master'!A5:S52,17,FALSE()),"")</f>
        <v/>
      </c>
      <c r="I83" s="96"/>
      <c r="J83" s="97"/>
      <c r="K83" s="100"/>
      <c r="L83" s="92" t="str">
        <f t="shared" si="2"/>
        <v/>
      </c>
      <c r="M83" s="82" t="str">
        <f t="shared" si="3"/>
        <v/>
      </c>
    </row>
    <row r="84" ht="15.0" customHeight="1">
      <c r="A84" s="36" t="str">
        <f t="shared" si="1"/>
        <v/>
      </c>
      <c r="B84" s="37"/>
      <c r="C84" s="75" t="str">
        <f>IFERROR(VLOOKUP(B84,'Loan Master'!A5:S52,2,FALSE()),"")</f>
        <v/>
      </c>
      <c r="D84" s="37"/>
      <c r="E84" s="61"/>
      <c r="F84" s="77" t="str">
        <f>IFERROR(VLOOKUP(B84,'Loan Master'!A5:S52,15,FALSE()),"")</f>
        <v/>
      </c>
      <c r="G84" s="39" t="str">
        <f>IFERROR(IF(VLOOKUP(B84,'Loan Master'!A5:S52,5,FALSE())="Direct",0,VLOOKUP(B84,'Loan Master'!A5:S52,16,FALSE())),"")</f>
        <v/>
      </c>
      <c r="H84" s="39" t="str">
        <f>IFERROR(VLOOKUP(B84,'Loan Master'!A5:S52,17,FALSE()),"")</f>
        <v/>
      </c>
      <c r="I84" s="95"/>
      <c r="J84" s="98"/>
      <c r="K84" s="44"/>
      <c r="L84" s="81" t="str">
        <f t="shared" si="2"/>
        <v/>
      </c>
      <c r="M84" s="82" t="str">
        <f t="shared" si="3"/>
        <v/>
      </c>
    </row>
    <row r="85" ht="15.0" customHeight="1">
      <c r="A85" s="83" t="str">
        <f t="shared" si="1"/>
        <v/>
      </c>
      <c r="B85" s="99"/>
      <c r="C85" s="85" t="str">
        <f>IFERROR(VLOOKUP(B85,'Loan Master'!A5:S52,2,FALSE()),"")</f>
        <v/>
      </c>
      <c r="D85" s="99"/>
      <c r="E85" s="87"/>
      <c r="F85" s="88" t="str">
        <f>IFERROR(VLOOKUP(B85,'Loan Master'!A5:S52,15,FALSE()),"")</f>
        <v/>
      </c>
      <c r="G85" s="89" t="str">
        <f>IFERROR(IF(VLOOKUP(B85,'Loan Master'!A5:S52,5,FALSE())="Direct",0,VLOOKUP(B85,'Loan Master'!A5:S52,16,FALSE())),"")</f>
        <v/>
      </c>
      <c r="H85" s="89" t="str">
        <f>IFERROR(VLOOKUP(B85,'Loan Master'!A5:S52,17,FALSE()),"")</f>
        <v/>
      </c>
      <c r="I85" s="96"/>
      <c r="J85" s="97"/>
      <c r="K85" s="100"/>
      <c r="L85" s="92" t="str">
        <f t="shared" si="2"/>
        <v/>
      </c>
      <c r="M85" s="82" t="str">
        <f t="shared" si="3"/>
        <v/>
      </c>
    </row>
    <row r="86" ht="15.0" customHeight="1">
      <c r="A86" s="36" t="str">
        <f t="shared" si="1"/>
        <v/>
      </c>
      <c r="B86" s="37"/>
      <c r="C86" s="75" t="str">
        <f>IFERROR(VLOOKUP(B86,'Loan Master'!A5:S52,2,FALSE()),"")</f>
        <v/>
      </c>
      <c r="D86" s="37"/>
      <c r="E86" s="61"/>
      <c r="F86" s="77" t="str">
        <f>IFERROR(VLOOKUP(B86,'Loan Master'!A5:S52,15,FALSE()),"")</f>
        <v/>
      </c>
      <c r="G86" s="39" t="str">
        <f>IFERROR(IF(VLOOKUP(B86,'Loan Master'!A5:S52,5,FALSE())="Direct",0,VLOOKUP(B86,'Loan Master'!A5:S52,16,FALSE())),"")</f>
        <v/>
      </c>
      <c r="H86" s="39" t="str">
        <f>IFERROR(VLOOKUP(B86,'Loan Master'!A5:S52,17,FALSE()),"")</f>
        <v/>
      </c>
      <c r="I86" s="95"/>
      <c r="J86" s="98"/>
      <c r="K86" s="44"/>
      <c r="L86" s="81" t="str">
        <f t="shared" si="2"/>
        <v/>
      </c>
      <c r="M86" s="82" t="str">
        <f t="shared" si="3"/>
        <v/>
      </c>
    </row>
    <row r="87" ht="15.0" customHeight="1">
      <c r="A87" s="83" t="str">
        <f t="shared" si="1"/>
        <v/>
      </c>
      <c r="B87" s="99"/>
      <c r="C87" s="85" t="str">
        <f>IFERROR(VLOOKUP(B87,'Loan Master'!A5:S52,2,FALSE()),"")</f>
        <v/>
      </c>
      <c r="D87" s="99"/>
      <c r="E87" s="87"/>
      <c r="F87" s="88" t="str">
        <f>IFERROR(VLOOKUP(B87,'Loan Master'!A5:S52,15,FALSE()),"")</f>
        <v/>
      </c>
      <c r="G87" s="89" t="str">
        <f>IFERROR(IF(VLOOKUP(B87,'Loan Master'!A5:S52,5,FALSE())="Direct",0,VLOOKUP(B87,'Loan Master'!A5:S52,16,FALSE())),"")</f>
        <v/>
      </c>
      <c r="H87" s="89" t="str">
        <f>IFERROR(VLOOKUP(B87,'Loan Master'!A5:S52,17,FALSE()),"")</f>
        <v/>
      </c>
      <c r="I87" s="96"/>
      <c r="J87" s="97"/>
      <c r="K87" s="100"/>
      <c r="L87" s="92" t="str">
        <f t="shared" si="2"/>
        <v/>
      </c>
      <c r="M87" s="82" t="str">
        <f t="shared" si="3"/>
        <v/>
      </c>
    </row>
    <row r="88" ht="15.0" customHeight="1">
      <c r="A88" s="36" t="str">
        <f t="shared" si="1"/>
        <v/>
      </c>
      <c r="B88" s="37"/>
      <c r="C88" s="75" t="str">
        <f>IFERROR(VLOOKUP(B88,'Loan Master'!A5:S52,2,FALSE()),"")</f>
        <v/>
      </c>
      <c r="D88" s="37"/>
      <c r="E88" s="61"/>
      <c r="F88" s="77" t="str">
        <f>IFERROR(VLOOKUP(B88,'Loan Master'!A5:S52,15,FALSE()),"")</f>
        <v/>
      </c>
      <c r="G88" s="39" t="str">
        <f>IFERROR(IF(VLOOKUP(B88,'Loan Master'!A5:S52,5,FALSE())="Direct",0,VLOOKUP(B88,'Loan Master'!A5:S52,16,FALSE())),"")</f>
        <v/>
      </c>
      <c r="H88" s="39" t="str">
        <f>IFERROR(VLOOKUP(B88,'Loan Master'!A5:S52,17,FALSE()),"")</f>
        <v/>
      </c>
      <c r="I88" s="95"/>
      <c r="J88" s="98"/>
      <c r="K88" s="44"/>
      <c r="L88" s="81" t="str">
        <f t="shared" si="2"/>
        <v/>
      </c>
      <c r="M88" s="82" t="str">
        <f t="shared" si="3"/>
        <v/>
      </c>
    </row>
    <row r="89" ht="15.0" customHeight="1">
      <c r="A89" s="83" t="str">
        <f t="shared" si="1"/>
        <v/>
      </c>
      <c r="B89" s="99"/>
      <c r="C89" s="85" t="str">
        <f>IFERROR(VLOOKUP(B89,'Loan Master'!A5:S52,2,FALSE()),"")</f>
        <v/>
      </c>
      <c r="D89" s="99"/>
      <c r="E89" s="87"/>
      <c r="F89" s="88" t="str">
        <f>IFERROR(VLOOKUP(B89,'Loan Master'!A5:S52,15,FALSE()),"")</f>
        <v/>
      </c>
      <c r="G89" s="89" t="str">
        <f>IFERROR(IF(VLOOKUP(B89,'Loan Master'!A5:S52,5,FALSE())="Direct",0,VLOOKUP(B89,'Loan Master'!A5:S52,16,FALSE())),"")</f>
        <v/>
      </c>
      <c r="H89" s="89" t="str">
        <f>IFERROR(VLOOKUP(B89,'Loan Master'!A5:S52,17,FALSE()),"")</f>
        <v/>
      </c>
      <c r="I89" s="96"/>
      <c r="J89" s="97"/>
      <c r="K89" s="100"/>
      <c r="L89" s="92" t="str">
        <f t="shared" si="2"/>
        <v/>
      </c>
      <c r="M89" s="82" t="str">
        <f t="shared" si="3"/>
        <v/>
      </c>
    </row>
    <row r="90" ht="15.0" customHeight="1">
      <c r="A90" s="36" t="str">
        <f t="shared" si="1"/>
        <v/>
      </c>
      <c r="B90" s="37"/>
      <c r="C90" s="75" t="str">
        <f>IFERROR(VLOOKUP(B90,'Loan Master'!A5:S52,2,FALSE()),"")</f>
        <v/>
      </c>
      <c r="D90" s="37"/>
      <c r="E90" s="61"/>
      <c r="F90" s="77" t="str">
        <f>IFERROR(VLOOKUP(B90,'Loan Master'!A5:S52,15,FALSE()),"")</f>
        <v/>
      </c>
      <c r="G90" s="39" t="str">
        <f>IFERROR(IF(VLOOKUP(B90,'Loan Master'!A5:S52,5,FALSE())="Direct",0,VLOOKUP(B90,'Loan Master'!A5:S52,16,FALSE())),"")</f>
        <v/>
      </c>
      <c r="H90" s="39" t="str">
        <f>IFERROR(VLOOKUP(B90,'Loan Master'!A5:S52,17,FALSE()),"")</f>
        <v/>
      </c>
      <c r="I90" s="95"/>
      <c r="J90" s="98"/>
      <c r="K90" s="44"/>
      <c r="L90" s="81" t="str">
        <f t="shared" si="2"/>
        <v/>
      </c>
      <c r="M90" s="82" t="str">
        <f t="shared" si="3"/>
        <v/>
      </c>
    </row>
    <row r="91" ht="15.0" customHeight="1">
      <c r="A91" s="83" t="str">
        <f t="shared" si="1"/>
        <v/>
      </c>
      <c r="B91" s="99"/>
      <c r="C91" s="85" t="str">
        <f>IFERROR(VLOOKUP(B91,'Loan Master'!A5:S52,2,FALSE()),"")</f>
        <v/>
      </c>
      <c r="D91" s="99"/>
      <c r="E91" s="87"/>
      <c r="F91" s="88" t="str">
        <f>IFERROR(VLOOKUP(B91,'Loan Master'!A5:S52,15,FALSE()),"")</f>
        <v/>
      </c>
      <c r="G91" s="89" t="str">
        <f>IFERROR(IF(VLOOKUP(B91,'Loan Master'!A5:S52,5,FALSE())="Direct",0,VLOOKUP(B91,'Loan Master'!A5:S52,16,FALSE())),"")</f>
        <v/>
      </c>
      <c r="H91" s="89" t="str">
        <f>IFERROR(VLOOKUP(B91,'Loan Master'!A5:S52,17,FALSE()),"")</f>
        <v/>
      </c>
      <c r="I91" s="96"/>
      <c r="J91" s="97"/>
      <c r="K91" s="100"/>
      <c r="L91" s="92" t="str">
        <f t="shared" si="2"/>
        <v/>
      </c>
      <c r="M91" s="82" t="str">
        <f t="shared" si="3"/>
        <v/>
      </c>
    </row>
    <row r="92" ht="15.0" customHeight="1">
      <c r="A92" s="36" t="str">
        <f t="shared" si="1"/>
        <v/>
      </c>
      <c r="B92" s="37"/>
      <c r="C92" s="75" t="str">
        <f>IFERROR(VLOOKUP(B92,'Loan Master'!A5:S52,2,FALSE()),"")</f>
        <v/>
      </c>
      <c r="D92" s="37"/>
      <c r="E92" s="61"/>
      <c r="F92" s="77" t="str">
        <f>IFERROR(VLOOKUP(B92,'Loan Master'!A5:S52,15,FALSE()),"")</f>
        <v/>
      </c>
      <c r="G92" s="39" t="str">
        <f>IFERROR(IF(VLOOKUP(B92,'Loan Master'!A5:S52,5,FALSE())="Direct",0,VLOOKUP(B92,'Loan Master'!A5:S52,16,FALSE())),"")</f>
        <v/>
      </c>
      <c r="H92" s="39" t="str">
        <f>IFERROR(VLOOKUP(B92,'Loan Master'!A5:S52,17,FALSE()),"")</f>
        <v/>
      </c>
      <c r="I92" s="95"/>
      <c r="J92" s="98"/>
      <c r="K92" s="44"/>
      <c r="L92" s="81" t="str">
        <f t="shared" si="2"/>
        <v/>
      </c>
      <c r="M92" s="82" t="str">
        <f t="shared" si="3"/>
        <v/>
      </c>
    </row>
    <row r="93" ht="15.0" customHeight="1">
      <c r="A93" s="83" t="str">
        <f t="shared" si="1"/>
        <v/>
      </c>
      <c r="B93" s="99"/>
      <c r="C93" s="85" t="str">
        <f>IFERROR(VLOOKUP(B93,'Loan Master'!A5:S52,2,FALSE()),"")</f>
        <v/>
      </c>
      <c r="D93" s="99"/>
      <c r="E93" s="87"/>
      <c r="F93" s="88" t="str">
        <f>IFERROR(VLOOKUP(B93,'Loan Master'!A5:S52,15,FALSE()),"")</f>
        <v/>
      </c>
      <c r="G93" s="89" t="str">
        <f>IFERROR(IF(VLOOKUP(B93,'Loan Master'!A5:S52,5,FALSE())="Direct",0,VLOOKUP(B93,'Loan Master'!A5:S52,16,FALSE())),"")</f>
        <v/>
      </c>
      <c r="H93" s="89" t="str">
        <f>IFERROR(VLOOKUP(B93,'Loan Master'!A5:S52,17,FALSE()),"")</f>
        <v/>
      </c>
      <c r="I93" s="96"/>
      <c r="J93" s="97"/>
      <c r="K93" s="100"/>
      <c r="L93" s="92" t="str">
        <f t="shared" si="2"/>
        <v/>
      </c>
      <c r="M93" s="82" t="str">
        <f t="shared" si="3"/>
        <v/>
      </c>
    </row>
    <row r="94" ht="15.0" customHeight="1">
      <c r="A94" s="36" t="str">
        <f t="shared" si="1"/>
        <v/>
      </c>
      <c r="B94" s="37"/>
      <c r="C94" s="75" t="str">
        <f>IFERROR(VLOOKUP(B94,'Loan Master'!A5:S52,2,FALSE()),"")</f>
        <v/>
      </c>
      <c r="D94" s="37"/>
      <c r="E94" s="61"/>
      <c r="F94" s="77" t="str">
        <f>IFERROR(VLOOKUP(B94,'Loan Master'!A5:S52,15,FALSE()),"")</f>
        <v/>
      </c>
      <c r="G94" s="39" t="str">
        <f>IFERROR(IF(VLOOKUP(B94,'Loan Master'!A5:S52,5,FALSE())="Direct",0,VLOOKUP(B94,'Loan Master'!A5:S52,16,FALSE())),"")</f>
        <v/>
      </c>
      <c r="H94" s="39" t="str">
        <f>IFERROR(VLOOKUP(B94,'Loan Master'!A5:S52,17,FALSE()),"")</f>
        <v/>
      </c>
      <c r="I94" s="95"/>
      <c r="J94" s="98"/>
      <c r="K94" s="44"/>
      <c r="L94" s="81" t="str">
        <f t="shared" si="2"/>
        <v/>
      </c>
      <c r="M94" s="82" t="str">
        <f t="shared" si="3"/>
        <v/>
      </c>
    </row>
    <row r="95" ht="15.0" customHeight="1">
      <c r="A95" s="83" t="str">
        <f t="shared" si="1"/>
        <v/>
      </c>
      <c r="B95" s="99"/>
      <c r="C95" s="85" t="str">
        <f>IFERROR(VLOOKUP(B95,'Loan Master'!A5:S52,2,FALSE()),"")</f>
        <v/>
      </c>
      <c r="D95" s="99"/>
      <c r="E95" s="87"/>
      <c r="F95" s="88" t="str">
        <f>IFERROR(VLOOKUP(B95,'Loan Master'!A5:S52,15,FALSE()),"")</f>
        <v/>
      </c>
      <c r="G95" s="89" t="str">
        <f>IFERROR(IF(VLOOKUP(B95,'Loan Master'!A5:S52,5,FALSE())="Direct",0,VLOOKUP(B95,'Loan Master'!A5:S52,16,FALSE())),"")</f>
        <v/>
      </c>
      <c r="H95" s="89" t="str">
        <f>IFERROR(VLOOKUP(B95,'Loan Master'!A5:S52,17,FALSE()),"")</f>
        <v/>
      </c>
      <c r="I95" s="96"/>
      <c r="J95" s="97"/>
      <c r="K95" s="100"/>
      <c r="L95" s="92" t="str">
        <f t="shared" si="2"/>
        <v/>
      </c>
      <c r="M95" s="82" t="str">
        <f t="shared" si="3"/>
        <v/>
      </c>
    </row>
    <row r="96" ht="15.0" customHeight="1">
      <c r="A96" s="36" t="str">
        <f t="shared" si="1"/>
        <v/>
      </c>
      <c r="B96" s="37"/>
      <c r="C96" s="75" t="str">
        <f>IFERROR(VLOOKUP(B96,'Loan Master'!A5:S52,2,FALSE()),"")</f>
        <v/>
      </c>
      <c r="D96" s="37"/>
      <c r="E96" s="61"/>
      <c r="F96" s="77" t="str">
        <f>IFERROR(VLOOKUP(B96,'Loan Master'!A5:S52,15,FALSE()),"")</f>
        <v/>
      </c>
      <c r="G96" s="39" t="str">
        <f>IFERROR(IF(VLOOKUP(B96,'Loan Master'!A5:S52,5,FALSE())="Direct",0,VLOOKUP(B96,'Loan Master'!A5:S52,16,FALSE())),"")</f>
        <v/>
      </c>
      <c r="H96" s="39" t="str">
        <f>IFERROR(VLOOKUP(B96,'Loan Master'!A5:S52,17,FALSE()),"")</f>
        <v/>
      </c>
      <c r="I96" s="95"/>
      <c r="J96" s="98"/>
      <c r="K96" s="44"/>
      <c r="L96" s="81" t="str">
        <f t="shared" si="2"/>
        <v/>
      </c>
      <c r="M96" s="82" t="str">
        <f t="shared" si="3"/>
        <v/>
      </c>
    </row>
    <row r="97" ht="15.0" customHeight="1">
      <c r="A97" s="83" t="str">
        <f t="shared" si="1"/>
        <v/>
      </c>
      <c r="B97" s="99"/>
      <c r="C97" s="85" t="str">
        <f>IFERROR(VLOOKUP(B97,'Loan Master'!A5:S52,2,FALSE()),"")</f>
        <v/>
      </c>
      <c r="D97" s="99"/>
      <c r="E97" s="87"/>
      <c r="F97" s="88" t="str">
        <f>IFERROR(VLOOKUP(B97,'Loan Master'!A5:S52,15,FALSE()),"")</f>
        <v/>
      </c>
      <c r="G97" s="89" t="str">
        <f>IFERROR(IF(VLOOKUP(B97,'Loan Master'!A5:S52,5,FALSE())="Direct",0,VLOOKUP(B97,'Loan Master'!A5:S52,16,FALSE())),"")</f>
        <v/>
      </c>
      <c r="H97" s="89" t="str">
        <f>IFERROR(VLOOKUP(B97,'Loan Master'!A5:S52,17,FALSE()),"")</f>
        <v/>
      </c>
      <c r="I97" s="96"/>
      <c r="J97" s="97"/>
      <c r="K97" s="100"/>
      <c r="L97" s="92" t="str">
        <f t="shared" si="2"/>
        <v/>
      </c>
      <c r="M97" s="82" t="str">
        <f t="shared" si="3"/>
        <v/>
      </c>
    </row>
    <row r="98" ht="15.0" customHeight="1">
      <c r="A98" s="36" t="str">
        <f t="shared" si="1"/>
        <v/>
      </c>
      <c r="B98" s="37"/>
      <c r="C98" s="75" t="str">
        <f>IFERROR(VLOOKUP(B98,'Loan Master'!A5:S52,2,FALSE()),"")</f>
        <v/>
      </c>
      <c r="D98" s="37"/>
      <c r="E98" s="61"/>
      <c r="F98" s="77" t="str">
        <f>IFERROR(VLOOKUP(B98,'Loan Master'!A5:S52,15,FALSE()),"")</f>
        <v/>
      </c>
      <c r="G98" s="39" t="str">
        <f>IFERROR(IF(VLOOKUP(B98,'Loan Master'!A5:S52,5,FALSE())="Direct",0,VLOOKUP(B98,'Loan Master'!A5:S52,16,FALSE())),"")</f>
        <v/>
      </c>
      <c r="H98" s="39" t="str">
        <f>IFERROR(VLOOKUP(B98,'Loan Master'!A5:S52,17,FALSE()),"")</f>
        <v/>
      </c>
      <c r="I98" s="95"/>
      <c r="J98" s="98"/>
      <c r="K98" s="44"/>
      <c r="L98" s="81" t="str">
        <f t="shared" si="2"/>
        <v/>
      </c>
      <c r="M98" s="82" t="str">
        <f t="shared" si="3"/>
        <v/>
      </c>
    </row>
    <row r="99" ht="15.0" customHeight="1">
      <c r="A99" s="83" t="str">
        <f t="shared" si="1"/>
        <v/>
      </c>
      <c r="B99" s="99"/>
      <c r="C99" s="85" t="str">
        <f>IFERROR(VLOOKUP(B99,'Loan Master'!A5:S52,2,FALSE()),"")</f>
        <v/>
      </c>
      <c r="D99" s="99"/>
      <c r="E99" s="87"/>
      <c r="F99" s="88" t="str">
        <f>IFERROR(VLOOKUP(B99,'Loan Master'!A5:S52,15,FALSE()),"")</f>
        <v/>
      </c>
      <c r="G99" s="89" t="str">
        <f>IFERROR(IF(VLOOKUP(B99,'Loan Master'!A5:S52,5,FALSE())="Direct",0,VLOOKUP(B99,'Loan Master'!A5:S52,16,FALSE())),"")</f>
        <v/>
      </c>
      <c r="H99" s="89" t="str">
        <f>IFERROR(VLOOKUP(B99,'Loan Master'!A5:S52,17,FALSE()),"")</f>
        <v/>
      </c>
      <c r="I99" s="96"/>
      <c r="J99" s="97"/>
      <c r="K99" s="100"/>
      <c r="L99" s="92" t="str">
        <f t="shared" si="2"/>
        <v/>
      </c>
      <c r="M99" s="82" t="str">
        <f t="shared" si="3"/>
        <v/>
      </c>
    </row>
    <row r="100" ht="15.0" customHeight="1">
      <c r="A100" s="36" t="str">
        <f t="shared" si="1"/>
        <v/>
      </c>
      <c r="B100" s="37"/>
      <c r="C100" s="75" t="str">
        <f>IFERROR(VLOOKUP(B100,'Loan Master'!A5:S52,2,FALSE()),"")</f>
        <v/>
      </c>
      <c r="D100" s="37"/>
      <c r="E100" s="61"/>
      <c r="F100" s="77" t="str">
        <f>IFERROR(VLOOKUP(B100,'Loan Master'!A5:S52,15,FALSE()),"")</f>
        <v/>
      </c>
      <c r="G100" s="39" t="str">
        <f>IFERROR(IF(VLOOKUP(B100,'Loan Master'!A5:S52,5,FALSE())="Direct",0,VLOOKUP(B100,'Loan Master'!A5:S52,16,FALSE())),"")</f>
        <v/>
      </c>
      <c r="H100" s="39" t="str">
        <f>IFERROR(VLOOKUP(B100,'Loan Master'!A5:S52,17,FALSE()),"")</f>
        <v/>
      </c>
      <c r="I100" s="95"/>
      <c r="J100" s="98"/>
      <c r="K100" s="44"/>
      <c r="L100" s="81" t="str">
        <f t="shared" si="2"/>
        <v/>
      </c>
      <c r="M100" s="82" t="str">
        <f t="shared" si="3"/>
        <v/>
      </c>
    </row>
    <row r="101" ht="15.0" customHeight="1">
      <c r="A101" s="83" t="str">
        <f t="shared" si="1"/>
        <v/>
      </c>
      <c r="B101" s="99"/>
      <c r="C101" s="85" t="str">
        <f>IFERROR(VLOOKUP(B101,'Loan Master'!A5:S52,2,FALSE()),"")</f>
        <v/>
      </c>
      <c r="D101" s="99"/>
      <c r="E101" s="87"/>
      <c r="F101" s="88" t="str">
        <f>IFERROR(VLOOKUP(B101,'Loan Master'!A5:S52,15,FALSE()),"")</f>
        <v/>
      </c>
      <c r="G101" s="89" t="str">
        <f>IFERROR(IF(VLOOKUP(B101,'Loan Master'!A5:S52,5,FALSE())="Direct",0,VLOOKUP(B101,'Loan Master'!A5:S52,16,FALSE())),"")</f>
        <v/>
      </c>
      <c r="H101" s="89" t="str">
        <f>IFERROR(VLOOKUP(B101,'Loan Master'!A5:S52,17,FALSE()),"")</f>
        <v/>
      </c>
      <c r="I101" s="96"/>
      <c r="J101" s="97"/>
      <c r="K101" s="100"/>
      <c r="L101" s="92" t="str">
        <f t="shared" si="2"/>
        <v/>
      </c>
      <c r="M101" s="82" t="str">
        <f t="shared" si="3"/>
        <v/>
      </c>
    </row>
    <row r="102" ht="15.0" customHeight="1">
      <c r="A102" s="36" t="str">
        <f t="shared" si="1"/>
        <v/>
      </c>
      <c r="B102" s="37"/>
      <c r="C102" s="75" t="str">
        <f>IFERROR(VLOOKUP(B102,'Loan Master'!A5:S52,2,FALSE()),"")</f>
        <v/>
      </c>
      <c r="D102" s="37"/>
      <c r="E102" s="61"/>
      <c r="F102" s="77" t="str">
        <f>IFERROR(VLOOKUP(B102,'Loan Master'!A5:S52,15,FALSE()),"")</f>
        <v/>
      </c>
      <c r="G102" s="39" t="str">
        <f>IFERROR(IF(VLOOKUP(B102,'Loan Master'!A5:S52,5,FALSE())="Direct",0,VLOOKUP(B102,'Loan Master'!A5:S52,16,FALSE())),"")</f>
        <v/>
      </c>
      <c r="H102" s="39" t="str">
        <f>IFERROR(VLOOKUP(B102,'Loan Master'!A5:S52,17,FALSE()),"")</f>
        <v/>
      </c>
      <c r="I102" s="95"/>
      <c r="J102" s="98"/>
      <c r="K102" s="44"/>
      <c r="L102" s="81" t="str">
        <f t="shared" si="2"/>
        <v/>
      </c>
      <c r="M102" s="82" t="str">
        <f t="shared" si="3"/>
        <v/>
      </c>
    </row>
    <row r="103" ht="15.0" customHeight="1">
      <c r="A103" s="83" t="str">
        <f t="shared" si="1"/>
        <v/>
      </c>
      <c r="B103" s="99"/>
      <c r="C103" s="85" t="str">
        <f>IFERROR(VLOOKUP(B103,'Loan Master'!A5:S52,2,FALSE()),"")</f>
        <v/>
      </c>
      <c r="D103" s="99"/>
      <c r="E103" s="87"/>
      <c r="F103" s="88" t="str">
        <f>IFERROR(VLOOKUP(B103,'Loan Master'!A5:S52,15,FALSE()),"")</f>
        <v/>
      </c>
      <c r="G103" s="89" t="str">
        <f>IFERROR(IF(VLOOKUP(B103,'Loan Master'!A5:S52,5,FALSE())="Direct",0,VLOOKUP(B103,'Loan Master'!A5:S52,16,FALSE())),"")</f>
        <v/>
      </c>
      <c r="H103" s="89" t="str">
        <f>IFERROR(VLOOKUP(B103,'Loan Master'!A5:S52,17,FALSE()),"")</f>
        <v/>
      </c>
      <c r="I103" s="96"/>
      <c r="J103" s="97"/>
      <c r="K103" s="100"/>
      <c r="L103" s="92" t="str">
        <f t="shared" si="2"/>
        <v/>
      </c>
      <c r="M103" s="82" t="str">
        <f t="shared" si="3"/>
        <v/>
      </c>
    </row>
    <row r="104" ht="15.0" customHeight="1">
      <c r="A104" s="36" t="str">
        <f t="shared" si="1"/>
        <v/>
      </c>
      <c r="B104" s="37"/>
      <c r="C104" s="75" t="str">
        <f>IFERROR(VLOOKUP(B104,'Loan Master'!A5:S52,2,FALSE()),"")</f>
        <v/>
      </c>
      <c r="D104" s="37"/>
      <c r="E104" s="61"/>
      <c r="F104" s="77" t="str">
        <f>IFERROR(VLOOKUP(B104,'Loan Master'!A5:S52,15,FALSE()),"")</f>
        <v/>
      </c>
      <c r="G104" s="39" t="str">
        <f>IFERROR(IF(VLOOKUP(B104,'Loan Master'!A5:S52,5,FALSE())="Direct",0,VLOOKUP(B104,'Loan Master'!A5:S52,16,FALSE())),"")</f>
        <v/>
      </c>
      <c r="H104" s="39" t="str">
        <f>IFERROR(VLOOKUP(B104,'Loan Master'!A5:S52,17,FALSE()),"")</f>
        <v/>
      </c>
      <c r="I104" s="95"/>
      <c r="J104" s="98"/>
      <c r="K104" s="44"/>
      <c r="L104" s="81" t="str">
        <f t="shared" si="2"/>
        <v/>
      </c>
      <c r="M104" s="82" t="str">
        <f t="shared" si="3"/>
        <v/>
      </c>
    </row>
    <row r="105" ht="15.0" customHeight="1">
      <c r="A105" s="83" t="str">
        <f t="shared" si="1"/>
        <v/>
      </c>
      <c r="B105" s="99"/>
      <c r="C105" s="85" t="str">
        <f>IFERROR(VLOOKUP(B105,'Loan Master'!A5:S52,2,FALSE()),"")</f>
        <v/>
      </c>
      <c r="D105" s="99"/>
      <c r="E105" s="87"/>
      <c r="F105" s="88" t="str">
        <f>IFERROR(VLOOKUP(B105,'Loan Master'!A5:S52,15,FALSE()),"")</f>
        <v/>
      </c>
      <c r="G105" s="89" t="str">
        <f>IFERROR(IF(VLOOKUP(B105,'Loan Master'!A5:S52,5,FALSE())="Direct",0,VLOOKUP(B105,'Loan Master'!A5:S52,16,FALSE())),"")</f>
        <v/>
      </c>
      <c r="H105" s="89" t="str">
        <f>IFERROR(VLOOKUP(B105,'Loan Master'!A5:S52,17,FALSE()),"")</f>
        <v/>
      </c>
      <c r="I105" s="96"/>
      <c r="J105" s="97"/>
      <c r="K105" s="100"/>
      <c r="L105" s="92" t="str">
        <f t="shared" si="2"/>
        <v/>
      </c>
      <c r="M105" s="82" t="str">
        <f t="shared" si="3"/>
        <v/>
      </c>
    </row>
    <row r="106" ht="15.0" customHeight="1">
      <c r="A106" s="36" t="str">
        <f t="shared" si="1"/>
        <v/>
      </c>
      <c r="B106" s="37"/>
      <c r="C106" s="75" t="str">
        <f>IFERROR(VLOOKUP(B106,'Loan Master'!A5:S52,2,FALSE()),"")</f>
        <v/>
      </c>
      <c r="D106" s="37"/>
      <c r="E106" s="61"/>
      <c r="F106" s="77" t="str">
        <f>IFERROR(VLOOKUP(B106,'Loan Master'!A5:S52,15,FALSE()),"")</f>
        <v/>
      </c>
      <c r="G106" s="39" t="str">
        <f>IFERROR(IF(VLOOKUP(B106,'Loan Master'!A5:S52,5,FALSE())="Direct",0,VLOOKUP(B106,'Loan Master'!A5:S52,16,FALSE())),"")</f>
        <v/>
      </c>
      <c r="H106" s="39" t="str">
        <f>IFERROR(VLOOKUP(B106,'Loan Master'!A5:S52,17,FALSE()),"")</f>
        <v/>
      </c>
      <c r="I106" s="95"/>
      <c r="J106" s="98"/>
      <c r="K106" s="44"/>
      <c r="L106" s="81" t="str">
        <f t="shared" si="2"/>
        <v/>
      </c>
      <c r="M106" s="82" t="str">
        <f t="shared" si="3"/>
        <v/>
      </c>
    </row>
    <row r="107" ht="15.0" customHeight="1">
      <c r="A107" s="83" t="str">
        <f t="shared" si="1"/>
        <v/>
      </c>
      <c r="B107" s="99"/>
      <c r="C107" s="85" t="str">
        <f>IFERROR(VLOOKUP(B107,'Loan Master'!A5:S52,2,FALSE()),"")</f>
        <v/>
      </c>
      <c r="D107" s="99"/>
      <c r="E107" s="87"/>
      <c r="F107" s="88" t="str">
        <f>IFERROR(VLOOKUP(B107,'Loan Master'!A5:S52,15,FALSE()),"")</f>
        <v/>
      </c>
      <c r="G107" s="89" t="str">
        <f>IFERROR(IF(VLOOKUP(B107,'Loan Master'!A5:S52,5,FALSE())="Direct",0,VLOOKUP(B107,'Loan Master'!A5:S52,16,FALSE())),"")</f>
        <v/>
      </c>
      <c r="H107" s="89" t="str">
        <f>IFERROR(VLOOKUP(B107,'Loan Master'!A5:S52,17,FALSE()),"")</f>
        <v/>
      </c>
      <c r="I107" s="96"/>
      <c r="J107" s="97"/>
      <c r="K107" s="100"/>
      <c r="L107" s="92" t="str">
        <f t="shared" si="2"/>
        <v/>
      </c>
      <c r="M107" s="82" t="str">
        <f t="shared" si="3"/>
        <v/>
      </c>
    </row>
    <row r="108" ht="15.0" customHeight="1">
      <c r="A108" s="36" t="str">
        <f t="shared" si="1"/>
        <v/>
      </c>
      <c r="B108" s="37"/>
      <c r="C108" s="75" t="str">
        <f>IFERROR(VLOOKUP(B108,'Loan Master'!A5:S52,2,FALSE()),"")</f>
        <v/>
      </c>
      <c r="D108" s="37"/>
      <c r="E108" s="61"/>
      <c r="F108" s="77" t="str">
        <f>IFERROR(VLOOKUP(B108,'Loan Master'!A5:S52,15,FALSE()),"")</f>
        <v/>
      </c>
      <c r="G108" s="39" t="str">
        <f>IFERROR(IF(VLOOKUP(B108,'Loan Master'!A5:S52,5,FALSE())="Direct",0,VLOOKUP(B108,'Loan Master'!A5:S52,16,FALSE())),"")</f>
        <v/>
      </c>
      <c r="H108" s="39" t="str">
        <f>IFERROR(VLOOKUP(B108,'Loan Master'!A5:S52,17,FALSE()),"")</f>
        <v/>
      </c>
      <c r="I108" s="95"/>
      <c r="J108" s="98"/>
      <c r="K108" s="44"/>
      <c r="L108" s="81" t="str">
        <f t="shared" si="2"/>
        <v/>
      </c>
      <c r="M108" s="82" t="str">
        <f t="shared" si="3"/>
        <v/>
      </c>
    </row>
    <row r="109" ht="15.0" customHeight="1">
      <c r="A109" s="83" t="str">
        <f t="shared" si="1"/>
        <v/>
      </c>
      <c r="B109" s="99"/>
      <c r="C109" s="85" t="str">
        <f>IFERROR(VLOOKUP(B109,'Loan Master'!A5:S52,2,FALSE()),"")</f>
        <v/>
      </c>
      <c r="D109" s="99"/>
      <c r="E109" s="87"/>
      <c r="F109" s="88" t="str">
        <f>IFERROR(VLOOKUP(B109,'Loan Master'!A5:S52,15,FALSE()),"")</f>
        <v/>
      </c>
      <c r="G109" s="89" t="str">
        <f>IFERROR(IF(VLOOKUP(B109,'Loan Master'!A5:S52,5,FALSE())="Direct",0,VLOOKUP(B109,'Loan Master'!A5:S52,16,FALSE())),"")</f>
        <v/>
      </c>
      <c r="H109" s="89" t="str">
        <f>IFERROR(VLOOKUP(B109,'Loan Master'!A5:S52,17,FALSE()),"")</f>
        <v/>
      </c>
      <c r="I109" s="96"/>
      <c r="J109" s="97"/>
      <c r="K109" s="100"/>
      <c r="L109" s="92" t="str">
        <f t="shared" si="2"/>
        <v/>
      </c>
      <c r="M109" s="82" t="str">
        <f t="shared" si="3"/>
        <v/>
      </c>
    </row>
    <row r="110" ht="15.0" customHeight="1">
      <c r="A110" s="36" t="str">
        <f t="shared" si="1"/>
        <v/>
      </c>
      <c r="B110" s="37"/>
      <c r="C110" s="75" t="str">
        <f>IFERROR(VLOOKUP(B110,'Loan Master'!A5:S52,2,FALSE()),"")</f>
        <v/>
      </c>
      <c r="D110" s="37"/>
      <c r="E110" s="61"/>
      <c r="F110" s="77" t="str">
        <f>IFERROR(VLOOKUP(B110,'Loan Master'!A5:S52,15,FALSE()),"")</f>
        <v/>
      </c>
      <c r="G110" s="39" t="str">
        <f>IFERROR(IF(VLOOKUP(B110,'Loan Master'!A5:S52,5,FALSE())="Direct",0,VLOOKUP(B110,'Loan Master'!A5:S52,16,FALSE())),"")</f>
        <v/>
      </c>
      <c r="H110" s="39" t="str">
        <f>IFERROR(VLOOKUP(B110,'Loan Master'!A5:S52,17,FALSE()),"")</f>
        <v/>
      </c>
      <c r="I110" s="95"/>
      <c r="J110" s="98"/>
      <c r="K110" s="44"/>
      <c r="L110" s="81" t="str">
        <f t="shared" si="2"/>
        <v/>
      </c>
      <c r="M110" s="82" t="str">
        <f t="shared" si="3"/>
        <v/>
      </c>
    </row>
    <row r="111" ht="15.0" customHeight="1">
      <c r="A111" s="83" t="str">
        <f t="shared" si="1"/>
        <v/>
      </c>
      <c r="B111" s="99"/>
      <c r="C111" s="85" t="str">
        <f>IFERROR(VLOOKUP(B111,'Loan Master'!A5:S52,2,FALSE()),"")</f>
        <v/>
      </c>
      <c r="D111" s="99"/>
      <c r="E111" s="87"/>
      <c r="F111" s="88" t="str">
        <f>IFERROR(VLOOKUP(B111,'Loan Master'!A5:S52,15,FALSE()),"")</f>
        <v/>
      </c>
      <c r="G111" s="89" t="str">
        <f>IFERROR(IF(VLOOKUP(B111,'Loan Master'!A5:S52,5,FALSE())="Direct",0,VLOOKUP(B111,'Loan Master'!A5:S52,16,FALSE())),"")</f>
        <v/>
      </c>
      <c r="H111" s="89" t="str">
        <f>IFERROR(VLOOKUP(B111,'Loan Master'!A5:S52,17,FALSE()),"")</f>
        <v/>
      </c>
      <c r="I111" s="96"/>
      <c r="J111" s="97"/>
      <c r="K111" s="100"/>
      <c r="L111" s="92" t="str">
        <f t="shared" si="2"/>
        <v/>
      </c>
      <c r="M111" s="82" t="str">
        <f t="shared" si="3"/>
        <v/>
      </c>
    </row>
    <row r="112" ht="15.0" customHeight="1">
      <c r="A112" s="36" t="str">
        <f t="shared" si="1"/>
        <v/>
      </c>
      <c r="B112" s="37"/>
      <c r="C112" s="75" t="str">
        <f>IFERROR(VLOOKUP(B112,'Loan Master'!A5:S52,2,FALSE()),"")</f>
        <v/>
      </c>
      <c r="D112" s="37"/>
      <c r="E112" s="61"/>
      <c r="F112" s="77" t="str">
        <f>IFERROR(VLOOKUP(B112,'Loan Master'!A5:S52,15,FALSE()),"")</f>
        <v/>
      </c>
      <c r="G112" s="39" t="str">
        <f>IFERROR(IF(VLOOKUP(B112,'Loan Master'!A5:S52,5,FALSE())="Direct",0,VLOOKUP(B112,'Loan Master'!A5:S52,16,FALSE())),"")</f>
        <v/>
      </c>
      <c r="H112" s="39" t="str">
        <f>IFERROR(VLOOKUP(B112,'Loan Master'!A5:S52,17,FALSE()),"")</f>
        <v/>
      </c>
      <c r="I112" s="95"/>
      <c r="J112" s="98"/>
      <c r="K112" s="44"/>
      <c r="L112" s="81" t="str">
        <f t="shared" si="2"/>
        <v/>
      </c>
      <c r="M112" s="82" t="str">
        <f t="shared" si="3"/>
        <v/>
      </c>
    </row>
    <row r="113" ht="15.0" customHeight="1">
      <c r="A113" s="83" t="str">
        <f t="shared" si="1"/>
        <v/>
      </c>
      <c r="B113" s="99"/>
      <c r="C113" s="85" t="str">
        <f>IFERROR(VLOOKUP(B113,'Loan Master'!A5:S52,2,FALSE()),"")</f>
        <v/>
      </c>
      <c r="D113" s="99"/>
      <c r="E113" s="87"/>
      <c r="F113" s="88" t="str">
        <f>IFERROR(VLOOKUP(B113,'Loan Master'!A5:S52,15,FALSE()),"")</f>
        <v/>
      </c>
      <c r="G113" s="89" t="str">
        <f>IFERROR(IF(VLOOKUP(B113,'Loan Master'!A5:S52,5,FALSE())="Direct",0,VLOOKUP(B113,'Loan Master'!A5:S52,16,FALSE())),"")</f>
        <v/>
      </c>
      <c r="H113" s="89" t="str">
        <f>IFERROR(VLOOKUP(B113,'Loan Master'!A5:S52,17,FALSE()),"")</f>
        <v/>
      </c>
      <c r="I113" s="96"/>
      <c r="J113" s="97"/>
      <c r="K113" s="100"/>
      <c r="L113" s="92" t="str">
        <f t="shared" si="2"/>
        <v/>
      </c>
      <c r="M113" s="82" t="str">
        <f t="shared" si="3"/>
        <v/>
      </c>
    </row>
    <row r="114" ht="15.0" customHeight="1">
      <c r="A114" s="36" t="str">
        <f t="shared" si="1"/>
        <v/>
      </c>
      <c r="B114" s="37"/>
      <c r="C114" s="75" t="str">
        <f>IFERROR(VLOOKUP(B114,'Loan Master'!A5:S52,2,FALSE()),"")</f>
        <v/>
      </c>
      <c r="D114" s="37"/>
      <c r="E114" s="61"/>
      <c r="F114" s="77" t="str">
        <f>IFERROR(VLOOKUP(B114,'Loan Master'!A5:S52,15,FALSE()),"")</f>
        <v/>
      </c>
      <c r="G114" s="39" t="str">
        <f>IFERROR(IF(VLOOKUP(B114,'Loan Master'!A5:S52,5,FALSE())="Direct",0,VLOOKUP(B114,'Loan Master'!A5:S52,16,FALSE())),"")</f>
        <v/>
      </c>
      <c r="H114" s="39" t="str">
        <f>IFERROR(VLOOKUP(B114,'Loan Master'!A5:S52,17,FALSE()),"")</f>
        <v/>
      </c>
      <c r="I114" s="95"/>
      <c r="J114" s="98"/>
      <c r="K114" s="44"/>
      <c r="L114" s="81" t="str">
        <f t="shared" si="2"/>
        <v/>
      </c>
      <c r="M114" s="82" t="str">
        <f t="shared" si="3"/>
        <v/>
      </c>
    </row>
    <row r="115" ht="15.0" customHeight="1">
      <c r="A115" s="83" t="str">
        <f t="shared" si="1"/>
        <v/>
      </c>
      <c r="B115" s="99"/>
      <c r="C115" s="85" t="str">
        <f>IFERROR(VLOOKUP(B115,'Loan Master'!A5:S52,2,FALSE()),"")</f>
        <v/>
      </c>
      <c r="D115" s="99"/>
      <c r="E115" s="87"/>
      <c r="F115" s="88" t="str">
        <f>IFERROR(VLOOKUP(B115,'Loan Master'!A5:S52,15,FALSE()),"")</f>
        <v/>
      </c>
      <c r="G115" s="89" t="str">
        <f>IFERROR(IF(VLOOKUP(B115,'Loan Master'!A5:S52,5,FALSE())="Direct",0,VLOOKUP(B115,'Loan Master'!A5:S52,16,FALSE())),"")</f>
        <v/>
      </c>
      <c r="H115" s="89" t="str">
        <f>IFERROR(VLOOKUP(B115,'Loan Master'!A5:S52,17,FALSE()),"")</f>
        <v/>
      </c>
      <c r="I115" s="96"/>
      <c r="J115" s="97"/>
      <c r="K115" s="100"/>
      <c r="L115" s="92" t="str">
        <f t="shared" si="2"/>
        <v/>
      </c>
      <c r="M115" s="82" t="str">
        <f t="shared" si="3"/>
        <v/>
      </c>
    </row>
    <row r="116" ht="15.0" customHeight="1">
      <c r="A116" s="36" t="str">
        <f t="shared" si="1"/>
        <v/>
      </c>
      <c r="B116" s="37"/>
      <c r="C116" s="75" t="str">
        <f>IFERROR(VLOOKUP(B116,'Loan Master'!A5:S52,2,FALSE()),"")</f>
        <v/>
      </c>
      <c r="D116" s="37"/>
      <c r="E116" s="61"/>
      <c r="F116" s="77" t="str">
        <f>IFERROR(VLOOKUP(B116,'Loan Master'!A5:S52,15,FALSE()),"")</f>
        <v/>
      </c>
      <c r="G116" s="39" t="str">
        <f>IFERROR(IF(VLOOKUP(B116,'Loan Master'!A5:S52,5,FALSE())="Direct",0,VLOOKUP(B116,'Loan Master'!A5:S52,16,FALSE())),"")</f>
        <v/>
      </c>
      <c r="H116" s="39" t="str">
        <f>IFERROR(VLOOKUP(B116,'Loan Master'!A5:S52,17,FALSE()),"")</f>
        <v/>
      </c>
      <c r="I116" s="95"/>
      <c r="J116" s="98"/>
      <c r="K116" s="44"/>
      <c r="L116" s="81" t="str">
        <f t="shared" si="2"/>
        <v/>
      </c>
      <c r="M116" s="82" t="str">
        <f t="shared" si="3"/>
        <v/>
      </c>
    </row>
    <row r="117" ht="15.0" customHeight="1">
      <c r="A117" s="83" t="str">
        <f t="shared" si="1"/>
        <v/>
      </c>
      <c r="B117" s="99"/>
      <c r="C117" s="85" t="str">
        <f>IFERROR(VLOOKUP(B117,'Loan Master'!A5:S52,2,FALSE()),"")</f>
        <v/>
      </c>
      <c r="D117" s="99"/>
      <c r="E117" s="87"/>
      <c r="F117" s="88" t="str">
        <f>IFERROR(VLOOKUP(B117,'Loan Master'!A5:S52,15,FALSE()),"")</f>
        <v/>
      </c>
      <c r="G117" s="89" t="str">
        <f>IFERROR(IF(VLOOKUP(B117,'Loan Master'!A5:S52,5,FALSE())="Direct",0,VLOOKUP(B117,'Loan Master'!A5:S52,16,FALSE())),"")</f>
        <v/>
      </c>
      <c r="H117" s="89" t="str">
        <f>IFERROR(VLOOKUP(B117,'Loan Master'!A5:S52,17,FALSE()),"")</f>
        <v/>
      </c>
      <c r="I117" s="96"/>
      <c r="J117" s="97"/>
      <c r="K117" s="100"/>
      <c r="L117" s="92" t="str">
        <f t="shared" si="2"/>
        <v/>
      </c>
      <c r="M117" s="82" t="str">
        <f t="shared" si="3"/>
        <v/>
      </c>
    </row>
    <row r="118" ht="15.0" customHeight="1">
      <c r="A118" s="36" t="str">
        <f t="shared" si="1"/>
        <v/>
      </c>
      <c r="B118" s="37"/>
      <c r="C118" s="75" t="str">
        <f>IFERROR(VLOOKUP(B118,'Loan Master'!A5:S52,2,FALSE()),"")</f>
        <v/>
      </c>
      <c r="D118" s="37"/>
      <c r="E118" s="61"/>
      <c r="F118" s="77" t="str">
        <f>IFERROR(VLOOKUP(B118,'Loan Master'!A5:S52,15,FALSE()),"")</f>
        <v/>
      </c>
      <c r="G118" s="39" t="str">
        <f>IFERROR(IF(VLOOKUP(B118,'Loan Master'!A5:S52,5,FALSE())="Direct",0,VLOOKUP(B118,'Loan Master'!A5:S52,16,FALSE())),"")</f>
        <v/>
      </c>
      <c r="H118" s="39" t="str">
        <f>IFERROR(VLOOKUP(B118,'Loan Master'!A5:S52,17,FALSE()),"")</f>
        <v/>
      </c>
      <c r="I118" s="95"/>
      <c r="J118" s="98"/>
      <c r="K118" s="44"/>
      <c r="L118" s="81" t="str">
        <f t="shared" si="2"/>
        <v/>
      </c>
      <c r="M118" s="82" t="str">
        <f t="shared" si="3"/>
        <v/>
      </c>
    </row>
    <row r="119" ht="15.0" customHeight="1">
      <c r="A119" s="83" t="str">
        <f t="shared" si="1"/>
        <v/>
      </c>
      <c r="B119" s="99"/>
      <c r="C119" s="85" t="str">
        <f>IFERROR(VLOOKUP(B119,'Loan Master'!A5:S52,2,FALSE()),"")</f>
        <v/>
      </c>
      <c r="D119" s="99"/>
      <c r="E119" s="87"/>
      <c r="F119" s="88" t="str">
        <f>IFERROR(VLOOKUP(B119,'Loan Master'!A5:S52,15,FALSE()),"")</f>
        <v/>
      </c>
      <c r="G119" s="89" t="str">
        <f>IFERROR(IF(VLOOKUP(B119,'Loan Master'!A5:S52,5,FALSE())="Direct",0,VLOOKUP(B119,'Loan Master'!A5:S52,16,FALSE())),"")</f>
        <v/>
      </c>
      <c r="H119" s="89" t="str">
        <f>IFERROR(VLOOKUP(B119,'Loan Master'!A5:S52,17,FALSE()),"")</f>
        <v/>
      </c>
      <c r="I119" s="96"/>
      <c r="J119" s="97"/>
      <c r="K119" s="100"/>
      <c r="L119" s="92" t="str">
        <f t="shared" si="2"/>
        <v/>
      </c>
      <c r="M119" s="82" t="str">
        <f t="shared" si="3"/>
        <v/>
      </c>
    </row>
    <row r="120" ht="15.0" customHeight="1">
      <c r="A120" s="36" t="str">
        <f t="shared" si="1"/>
        <v/>
      </c>
      <c r="B120" s="37"/>
      <c r="C120" s="75" t="str">
        <f>IFERROR(VLOOKUP(B120,'Loan Master'!A5:S52,2,FALSE()),"")</f>
        <v/>
      </c>
      <c r="D120" s="37"/>
      <c r="E120" s="61"/>
      <c r="F120" s="77" t="str">
        <f>IFERROR(VLOOKUP(B120,'Loan Master'!A5:S52,15,FALSE()),"")</f>
        <v/>
      </c>
      <c r="G120" s="39" t="str">
        <f>IFERROR(IF(VLOOKUP(B120,'Loan Master'!A5:S52,5,FALSE())="Direct",0,VLOOKUP(B120,'Loan Master'!A5:S52,16,FALSE())),"")</f>
        <v/>
      </c>
      <c r="H120" s="39" t="str">
        <f>IFERROR(VLOOKUP(B120,'Loan Master'!A5:S52,17,FALSE()),"")</f>
        <v/>
      </c>
      <c r="I120" s="95"/>
      <c r="J120" s="98"/>
      <c r="K120" s="44"/>
      <c r="L120" s="81" t="str">
        <f t="shared" si="2"/>
        <v/>
      </c>
      <c r="M120" s="82" t="str">
        <f t="shared" si="3"/>
        <v/>
      </c>
    </row>
    <row r="121" ht="15.0" customHeight="1">
      <c r="A121" s="83" t="str">
        <f t="shared" si="1"/>
        <v/>
      </c>
      <c r="B121" s="99"/>
      <c r="C121" s="85" t="str">
        <f>IFERROR(VLOOKUP(B121,'Loan Master'!A5:S52,2,FALSE()),"")</f>
        <v/>
      </c>
      <c r="D121" s="99"/>
      <c r="E121" s="87"/>
      <c r="F121" s="88" t="str">
        <f>IFERROR(VLOOKUP(B121,'Loan Master'!A5:S52,15,FALSE()),"")</f>
        <v/>
      </c>
      <c r="G121" s="89" t="str">
        <f>IFERROR(IF(VLOOKUP(B121,'Loan Master'!A5:S52,5,FALSE())="Direct",0,VLOOKUP(B121,'Loan Master'!A5:S52,16,FALSE())),"")</f>
        <v/>
      </c>
      <c r="H121" s="89" t="str">
        <f>IFERROR(VLOOKUP(B121,'Loan Master'!A5:S52,17,FALSE()),"")</f>
        <v/>
      </c>
      <c r="I121" s="96"/>
      <c r="J121" s="97"/>
      <c r="K121" s="100"/>
      <c r="L121" s="92" t="str">
        <f t="shared" si="2"/>
        <v/>
      </c>
      <c r="M121" s="82" t="str">
        <f t="shared" si="3"/>
        <v/>
      </c>
    </row>
    <row r="122" ht="15.0" customHeight="1">
      <c r="A122" s="36" t="str">
        <f t="shared" si="1"/>
        <v/>
      </c>
      <c r="B122" s="37"/>
      <c r="C122" s="75" t="str">
        <f>IFERROR(VLOOKUP(B122,'Loan Master'!A5:S52,2,FALSE()),"")</f>
        <v/>
      </c>
      <c r="D122" s="37"/>
      <c r="E122" s="61"/>
      <c r="F122" s="77" t="str">
        <f>IFERROR(VLOOKUP(B122,'Loan Master'!A5:S52,15,FALSE()),"")</f>
        <v/>
      </c>
      <c r="G122" s="39" t="str">
        <f>IFERROR(IF(VLOOKUP(B122,'Loan Master'!A5:S52,5,FALSE())="Direct",0,VLOOKUP(B122,'Loan Master'!A5:S52,16,FALSE())),"")</f>
        <v/>
      </c>
      <c r="H122" s="39" t="str">
        <f>IFERROR(VLOOKUP(B122,'Loan Master'!A5:S52,17,FALSE()),"")</f>
        <v/>
      </c>
      <c r="I122" s="95"/>
      <c r="J122" s="98"/>
      <c r="K122" s="44"/>
      <c r="L122" s="81" t="str">
        <f t="shared" si="2"/>
        <v/>
      </c>
      <c r="M122" s="82" t="str">
        <f t="shared" si="3"/>
        <v/>
      </c>
    </row>
    <row r="123" ht="15.0" customHeight="1">
      <c r="A123" s="83" t="str">
        <f t="shared" si="1"/>
        <v/>
      </c>
      <c r="B123" s="99"/>
      <c r="C123" s="85" t="str">
        <f>IFERROR(VLOOKUP(B123,'Loan Master'!A5:S52,2,FALSE()),"")</f>
        <v/>
      </c>
      <c r="D123" s="99"/>
      <c r="E123" s="87"/>
      <c r="F123" s="88" t="str">
        <f>IFERROR(VLOOKUP(B123,'Loan Master'!A5:S52,15,FALSE()),"")</f>
        <v/>
      </c>
      <c r="G123" s="89" t="str">
        <f>IFERROR(IF(VLOOKUP(B123,'Loan Master'!A5:S52,5,FALSE())="Direct",0,VLOOKUP(B123,'Loan Master'!A5:S52,16,FALSE())),"")</f>
        <v/>
      </c>
      <c r="H123" s="89" t="str">
        <f>IFERROR(VLOOKUP(B123,'Loan Master'!A5:S52,17,FALSE()),"")</f>
        <v/>
      </c>
      <c r="I123" s="96"/>
      <c r="J123" s="97"/>
      <c r="K123" s="100"/>
      <c r="L123" s="92" t="str">
        <f t="shared" si="2"/>
        <v/>
      </c>
      <c r="M123" s="82" t="str">
        <f t="shared" si="3"/>
        <v/>
      </c>
    </row>
    <row r="124" ht="15.0" customHeight="1">
      <c r="A124" s="36" t="str">
        <f t="shared" si="1"/>
        <v/>
      </c>
      <c r="B124" s="37"/>
      <c r="C124" s="75" t="str">
        <f>IFERROR(VLOOKUP(B124,'Loan Master'!A5:S52,2,FALSE()),"")</f>
        <v/>
      </c>
      <c r="D124" s="37"/>
      <c r="E124" s="61"/>
      <c r="F124" s="77" t="str">
        <f>IFERROR(VLOOKUP(B124,'Loan Master'!A5:S52,15,FALSE()),"")</f>
        <v/>
      </c>
      <c r="G124" s="39" t="str">
        <f>IFERROR(IF(VLOOKUP(B124,'Loan Master'!A5:S52,5,FALSE())="Direct",0,VLOOKUP(B124,'Loan Master'!A5:S52,16,FALSE())),"")</f>
        <v/>
      </c>
      <c r="H124" s="39" t="str">
        <f>IFERROR(VLOOKUP(B124,'Loan Master'!A5:S52,17,FALSE()),"")</f>
        <v/>
      </c>
      <c r="I124" s="95"/>
      <c r="J124" s="98"/>
      <c r="K124" s="44"/>
      <c r="L124" s="81" t="str">
        <f t="shared" si="2"/>
        <v/>
      </c>
      <c r="M124" s="82" t="str">
        <f t="shared" si="3"/>
        <v/>
      </c>
    </row>
    <row r="125" ht="15.0" customHeight="1">
      <c r="A125" s="83" t="str">
        <f t="shared" si="1"/>
        <v/>
      </c>
      <c r="B125" s="99"/>
      <c r="C125" s="85" t="str">
        <f>IFERROR(VLOOKUP(B125,'Loan Master'!A5:S52,2,FALSE()),"")</f>
        <v/>
      </c>
      <c r="D125" s="99"/>
      <c r="E125" s="87"/>
      <c r="F125" s="88" t="str">
        <f>IFERROR(VLOOKUP(B125,'Loan Master'!A5:S52,15,FALSE()),"")</f>
        <v/>
      </c>
      <c r="G125" s="89" t="str">
        <f>IFERROR(IF(VLOOKUP(B125,'Loan Master'!A5:S52,5,FALSE())="Direct",0,VLOOKUP(B125,'Loan Master'!A5:S52,16,FALSE())),"")</f>
        <v/>
      </c>
      <c r="H125" s="89" t="str">
        <f>IFERROR(VLOOKUP(B125,'Loan Master'!A5:S52,17,FALSE()),"")</f>
        <v/>
      </c>
      <c r="I125" s="96"/>
      <c r="J125" s="97"/>
      <c r="K125" s="100"/>
      <c r="L125" s="92" t="str">
        <f t="shared" si="2"/>
        <v/>
      </c>
      <c r="M125" s="82" t="str">
        <f t="shared" si="3"/>
        <v/>
      </c>
    </row>
    <row r="126" ht="15.0" customHeight="1">
      <c r="A126" s="36" t="str">
        <f t="shared" si="1"/>
        <v/>
      </c>
      <c r="B126" s="37"/>
      <c r="C126" s="75" t="str">
        <f>IFERROR(VLOOKUP(B126,'Loan Master'!A5:S52,2,FALSE()),"")</f>
        <v/>
      </c>
      <c r="D126" s="37"/>
      <c r="E126" s="61"/>
      <c r="F126" s="77" t="str">
        <f>IFERROR(VLOOKUP(B126,'Loan Master'!A5:S52,15,FALSE()),"")</f>
        <v/>
      </c>
      <c r="G126" s="39" t="str">
        <f>IFERROR(IF(VLOOKUP(B126,'Loan Master'!A5:S52,5,FALSE())="Direct",0,VLOOKUP(B126,'Loan Master'!A5:S52,16,FALSE())),"")</f>
        <v/>
      </c>
      <c r="H126" s="39" t="str">
        <f>IFERROR(VLOOKUP(B126,'Loan Master'!A5:S52,17,FALSE()),"")</f>
        <v/>
      </c>
      <c r="I126" s="95"/>
      <c r="J126" s="98"/>
      <c r="K126" s="44"/>
      <c r="L126" s="81" t="str">
        <f t="shared" si="2"/>
        <v/>
      </c>
      <c r="M126" s="82" t="str">
        <f t="shared" si="3"/>
        <v/>
      </c>
    </row>
    <row r="127" ht="15.0" customHeight="1">
      <c r="A127" s="83" t="str">
        <f t="shared" si="1"/>
        <v/>
      </c>
      <c r="B127" s="99"/>
      <c r="C127" s="85" t="str">
        <f>IFERROR(VLOOKUP(B127,'Loan Master'!A5:S52,2,FALSE()),"")</f>
        <v/>
      </c>
      <c r="D127" s="99"/>
      <c r="E127" s="87"/>
      <c r="F127" s="88" t="str">
        <f>IFERROR(VLOOKUP(B127,'Loan Master'!A5:S52,15,FALSE()),"")</f>
        <v/>
      </c>
      <c r="G127" s="89" t="str">
        <f>IFERROR(IF(VLOOKUP(B127,'Loan Master'!A5:S52,5,FALSE())="Direct",0,VLOOKUP(B127,'Loan Master'!A5:S52,16,FALSE())),"")</f>
        <v/>
      </c>
      <c r="H127" s="89" t="str">
        <f>IFERROR(VLOOKUP(B127,'Loan Master'!A5:S52,17,FALSE()),"")</f>
        <v/>
      </c>
      <c r="I127" s="96"/>
      <c r="J127" s="97"/>
      <c r="K127" s="100"/>
      <c r="L127" s="92" t="str">
        <f t="shared" si="2"/>
        <v/>
      </c>
      <c r="M127" s="82" t="str">
        <f t="shared" si="3"/>
        <v/>
      </c>
    </row>
    <row r="128" ht="15.0" customHeight="1">
      <c r="A128" s="36" t="str">
        <f t="shared" si="1"/>
        <v/>
      </c>
      <c r="B128" s="37"/>
      <c r="C128" s="75" t="str">
        <f>IFERROR(VLOOKUP(B128,'Loan Master'!A5:S52,2,FALSE()),"")</f>
        <v/>
      </c>
      <c r="D128" s="37"/>
      <c r="E128" s="61"/>
      <c r="F128" s="77" t="str">
        <f>IFERROR(VLOOKUP(B128,'Loan Master'!A5:S52,15,FALSE()),"")</f>
        <v/>
      </c>
      <c r="G128" s="39" t="str">
        <f>IFERROR(IF(VLOOKUP(B128,'Loan Master'!A5:S52,5,FALSE())="Direct",0,VLOOKUP(B128,'Loan Master'!A5:S52,16,FALSE())),"")</f>
        <v/>
      </c>
      <c r="H128" s="39" t="str">
        <f>IFERROR(VLOOKUP(B128,'Loan Master'!A5:S52,17,FALSE()),"")</f>
        <v/>
      </c>
      <c r="I128" s="95"/>
      <c r="J128" s="98"/>
      <c r="K128" s="44"/>
      <c r="L128" s="81" t="str">
        <f t="shared" si="2"/>
        <v/>
      </c>
      <c r="M128" s="82" t="str">
        <f t="shared" si="3"/>
        <v/>
      </c>
    </row>
    <row r="129" ht="15.0" customHeight="1">
      <c r="A129" s="83" t="str">
        <f t="shared" si="1"/>
        <v/>
      </c>
      <c r="B129" s="99"/>
      <c r="C129" s="85" t="str">
        <f>IFERROR(VLOOKUP(B129,'Loan Master'!A5:S52,2,FALSE()),"")</f>
        <v/>
      </c>
      <c r="D129" s="99"/>
      <c r="E129" s="87"/>
      <c r="F129" s="88" t="str">
        <f>IFERROR(VLOOKUP(B129,'Loan Master'!A5:S52,15,FALSE()),"")</f>
        <v/>
      </c>
      <c r="G129" s="89" t="str">
        <f>IFERROR(IF(VLOOKUP(B129,'Loan Master'!A5:S52,5,FALSE())="Direct",0,VLOOKUP(B129,'Loan Master'!A5:S52,16,FALSE())),"")</f>
        <v/>
      </c>
      <c r="H129" s="89" t="str">
        <f>IFERROR(VLOOKUP(B129,'Loan Master'!A5:S52,17,FALSE()),"")</f>
        <v/>
      </c>
      <c r="I129" s="96"/>
      <c r="J129" s="97"/>
      <c r="K129" s="100"/>
      <c r="L129" s="92" t="str">
        <f t="shared" si="2"/>
        <v/>
      </c>
      <c r="M129" s="82" t="str">
        <f t="shared" si="3"/>
        <v/>
      </c>
    </row>
    <row r="130" ht="15.0" customHeight="1">
      <c r="A130" s="36" t="str">
        <f t="shared" si="1"/>
        <v/>
      </c>
      <c r="B130" s="37"/>
      <c r="C130" s="75" t="str">
        <f>IFERROR(VLOOKUP(B130,'Loan Master'!A5:S52,2,FALSE()),"")</f>
        <v/>
      </c>
      <c r="D130" s="37"/>
      <c r="E130" s="61"/>
      <c r="F130" s="77" t="str">
        <f>IFERROR(VLOOKUP(B130,'Loan Master'!A5:S52,15,FALSE()),"")</f>
        <v/>
      </c>
      <c r="G130" s="39" t="str">
        <f>IFERROR(IF(VLOOKUP(B130,'Loan Master'!A5:S52,5,FALSE())="Direct",0,VLOOKUP(B130,'Loan Master'!A5:S52,16,FALSE())),"")</f>
        <v/>
      </c>
      <c r="H130" s="39" t="str">
        <f>IFERROR(VLOOKUP(B130,'Loan Master'!A5:S52,17,FALSE()),"")</f>
        <v/>
      </c>
      <c r="I130" s="95"/>
      <c r="J130" s="98"/>
      <c r="K130" s="44"/>
      <c r="L130" s="81" t="str">
        <f t="shared" si="2"/>
        <v/>
      </c>
      <c r="M130" s="82" t="str">
        <f t="shared" si="3"/>
        <v/>
      </c>
    </row>
    <row r="131" ht="15.0" customHeight="1">
      <c r="A131" s="83" t="str">
        <f t="shared" si="1"/>
        <v/>
      </c>
      <c r="B131" s="99"/>
      <c r="C131" s="85" t="str">
        <f>IFERROR(VLOOKUP(B131,'Loan Master'!A5:S52,2,FALSE()),"")</f>
        <v/>
      </c>
      <c r="D131" s="99"/>
      <c r="E131" s="87"/>
      <c r="F131" s="88" t="str">
        <f>IFERROR(VLOOKUP(B131,'Loan Master'!A5:S52,15,FALSE()),"")</f>
        <v/>
      </c>
      <c r="G131" s="89" t="str">
        <f>IFERROR(IF(VLOOKUP(B131,'Loan Master'!A5:S52,5,FALSE())="Direct",0,VLOOKUP(B131,'Loan Master'!A5:S52,16,FALSE())),"")</f>
        <v/>
      </c>
      <c r="H131" s="89" t="str">
        <f>IFERROR(VLOOKUP(B131,'Loan Master'!A5:S52,17,FALSE()),"")</f>
        <v/>
      </c>
      <c r="I131" s="96"/>
      <c r="J131" s="97"/>
      <c r="K131" s="100"/>
      <c r="L131" s="92" t="str">
        <f t="shared" si="2"/>
        <v/>
      </c>
      <c r="M131" s="82" t="str">
        <f t="shared" si="3"/>
        <v/>
      </c>
    </row>
    <row r="132" ht="15.0" customHeight="1">
      <c r="A132" s="36" t="str">
        <f t="shared" si="1"/>
        <v/>
      </c>
      <c r="B132" s="37"/>
      <c r="C132" s="75" t="str">
        <f>IFERROR(VLOOKUP(B132,'Loan Master'!A5:S52,2,FALSE()),"")</f>
        <v/>
      </c>
      <c r="D132" s="37"/>
      <c r="E132" s="61"/>
      <c r="F132" s="77" t="str">
        <f>IFERROR(VLOOKUP(B132,'Loan Master'!A5:S52,15,FALSE()),"")</f>
        <v/>
      </c>
      <c r="G132" s="39" t="str">
        <f>IFERROR(IF(VLOOKUP(B132,'Loan Master'!A5:S52,5,FALSE())="Direct",0,VLOOKUP(B132,'Loan Master'!A5:S52,16,FALSE())),"")</f>
        <v/>
      </c>
      <c r="H132" s="39" t="str">
        <f>IFERROR(VLOOKUP(B132,'Loan Master'!A5:S52,17,FALSE()),"")</f>
        <v/>
      </c>
      <c r="I132" s="95"/>
      <c r="J132" s="98"/>
      <c r="K132" s="44"/>
      <c r="L132" s="81" t="str">
        <f t="shared" si="2"/>
        <v/>
      </c>
      <c r="M132" s="82" t="str">
        <f t="shared" si="3"/>
        <v/>
      </c>
    </row>
    <row r="133" ht="15.0" customHeight="1">
      <c r="A133" s="83" t="str">
        <f t="shared" si="1"/>
        <v/>
      </c>
      <c r="B133" s="99"/>
      <c r="C133" s="85" t="str">
        <f>IFERROR(VLOOKUP(B133,'Loan Master'!A5:S52,2,FALSE()),"")</f>
        <v/>
      </c>
      <c r="D133" s="99"/>
      <c r="E133" s="87"/>
      <c r="F133" s="88" t="str">
        <f>IFERROR(VLOOKUP(B133,'Loan Master'!A5:S52,15,FALSE()),"")</f>
        <v/>
      </c>
      <c r="G133" s="89" t="str">
        <f>IFERROR(IF(VLOOKUP(B133,'Loan Master'!A5:S52,5,FALSE())="Direct",0,VLOOKUP(B133,'Loan Master'!A5:S52,16,FALSE())),"")</f>
        <v/>
      </c>
      <c r="H133" s="89" t="str">
        <f>IFERROR(VLOOKUP(B133,'Loan Master'!A5:S52,17,FALSE()),"")</f>
        <v/>
      </c>
      <c r="I133" s="96"/>
      <c r="J133" s="97"/>
      <c r="K133" s="100"/>
      <c r="L133" s="92" t="str">
        <f t="shared" si="2"/>
        <v/>
      </c>
      <c r="M133" s="82" t="str">
        <f t="shared" si="3"/>
        <v/>
      </c>
    </row>
    <row r="134" ht="15.0" customHeight="1">
      <c r="A134" s="36" t="str">
        <f t="shared" si="1"/>
        <v/>
      </c>
      <c r="B134" s="37"/>
      <c r="C134" s="75" t="str">
        <f>IFERROR(VLOOKUP(B134,'Loan Master'!A5:S52,2,FALSE()),"")</f>
        <v/>
      </c>
      <c r="D134" s="37"/>
      <c r="E134" s="61"/>
      <c r="F134" s="77" t="str">
        <f>IFERROR(VLOOKUP(B134,'Loan Master'!A5:S52,15,FALSE()),"")</f>
        <v/>
      </c>
      <c r="G134" s="39" t="str">
        <f>IFERROR(IF(VLOOKUP(B134,'Loan Master'!A5:S52,5,FALSE())="Direct",0,VLOOKUP(B134,'Loan Master'!A5:S52,16,FALSE())),"")</f>
        <v/>
      </c>
      <c r="H134" s="39" t="str">
        <f>IFERROR(VLOOKUP(B134,'Loan Master'!A5:S52,17,FALSE()),"")</f>
        <v/>
      </c>
      <c r="I134" s="95"/>
      <c r="J134" s="98"/>
      <c r="K134" s="44"/>
      <c r="L134" s="81" t="str">
        <f t="shared" si="2"/>
        <v/>
      </c>
      <c r="M134" s="82" t="str">
        <f t="shared" si="3"/>
        <v/>
      </c>
    </row>
    <row r="135" ht="15.0" customHeight="1">
      <c r="A135" s="83" t="str">
        <f t="shared" si="1"/>
        <v/>
      </c>
      <c r="B135" s="99"/>
      <c r="C135" s="85" t="str">
        <f>IFERROR(VLOOKUP(B135,'Loan Master'!A5:S52,2,FALSE()),"")</f>
        <v/>
      </c>
      <c r="D135" s="99"/>
      <c r="E135" s="87"/>
      <c r="F135" s="88" t="str">
        <f>IFERROR(VLOOKUP(B135,'Loan Master'!A5:S52,15,FALSE()),"")</f>
        <v/>
      </c>
      <c r="G135" s="89" t="str">
        <f>IFERROR(IF(VLOOKUP(B135,'Loan Master'!A5:S52,5,FALSE())="Direct",0,VLOOKUP(B135,'Loan Master'!A5:S52,16,FALSE())),"")</f>
        <v/>
      </c>
      <c r="H135" s="89" t="str">
        <f>IFERROR(VLOOKUP(B135,'Loan Master'!A5:S52,17,FALSE()),"")</f>
        <v/>
      </c>
      <c r="I135" s="96"/>
      <c r="J135" s="97"/>
      <c r="K135" s="100"/>
      <c r="L135" s="92" t="str">
        <f t="shared" si="2"/>
        <v/>
      </c>
      <c r="M135" s="82" t="str">
        <f t="shared" si="3"/>
        <v/>
      </c>
    </row>
    <row r="136" ht="15.0" customHeight="1">
      <c r="A136" s="36" t="str">
        <f t="shared" si="1"/>
        <v/>
      </c>
      <c r="B136" s="37"/>
      <c r="C136" s="75" t="str">
        <f>IFERROR(VLOOKUP(B136,'Loan Master'!A5:S52,2,FALSE()),"")</f>
        <v/>
      </c>
      <c r="D136" s="37"/>
      <c r="E136" s="61"/>
      <c r="F136" s="77" t="str">
        <f>IFERROR(VLOOKUP(B136,'Loan Master'!A5:S52,15,FALSE()),"")</f>
        <v/>
      </c>
      <c r="G136" s="39" t="str">
        <f>IFERROR(IF(VLOOKUP(B136,'Loan Master'!A5:S52,5,FALSE())="Direct",0,VLOOKUP(B136,'Loan Master'!A5:S52,16,FALSE())),"")</f>
        <v/>
      </c>
      <c r="H136" s="39" t="str">
        <f>IFERROR(VLOOKUP(B136,'Loan Master'!A5:S52,17,FALSE()),"")</f>
        <v/>
      </c>
      <c r="I136" s="95"/>
      <c r="J136" s="98"/>
      <c r="K136" s="44"/>
      <c r="L136" s="81" t="str">
        <f t="shared" si="2"/>
        <v/>
      </c>
      <c r="M136" s="82" t="str">
        <f t="shared" si="3"/>
        <v/>
      </c>
    </row>
    <row r="137" ht="15.0" customHeight="1">
      <c r="A137" s="83" t="str">
        <f t="shared" si="1"/>
        <v/>
      </c>
      <c r="B137" s="99"/>
      <c r="C137" s="85" t="str">
        <f>IFERROR(VLOOKUP(B137,'Loan Master'!A5:S52,2,FALSE()),"")</f>
        <v/>
      </c>
      <c r="D137" s="99"/>
      <c r="E137" s="87"/>
      <c r="F137" s="88" t="str">
        <f>IFERROR(VLOOKUP(B137,'Loan Master'!A5:S52,15,FALSE()),"")</f>
        <v/>
      </c>
      <c r="G137" s="89" t="str">
        <f>IFERROR(IF(VLOOKUP(B137,'Loan Master'!A5:S52,5,FALSE())="Direct",0,VLOOKUP(B137,'Loan Master'!A5:S52,16,FALSE())),"")</f>
        <v/>
      </c>
      <c r="H137" s="89" t="str">
        <f>IFERROR(VLOOKUP(B137,'Loan Master'!A5:S52,17,FALSE()),"")</f>
        <v/>
      </c>
      <c r="I137" s="96"/>
      <c r="J137" s="97"/>
      <c r="K137" s="100"/>
      <c r="L137" s="92" t="str">
        <f t="shared" si="2"/>
        <v/>
      </c>
      <c r="M137" s="82" t="str">
        <f t="shared" si="3"/>
        <v/>
      </c>
    </row>
    <row r="138" ht="15.0" customHeight="1">
      <c r="A138" s="36" t="str">
        <f t="shared" si="1"/>
        <v/>
      </c>
      <c r="B138" s="37"/>
      <c r="C138" s="75" t="str">
        <f>IFERROR(VLOOKUP(B138,'Loan Master'!A5:S52,2,FALSE()),"")</f>
        <v/>
      </c>
      <c r="D138" s="37"/>
      <c r="E138" s="61"/>
      <c r="F138" s="77" t="str">
        <f>IFERROR(VLOOKUP(B138,'Loan Master'!A5:S52,15,FALSE()),"")</f>
        <v/>
      </c>
      <c r="G138" s="39" t="str">
        <f>IFERROR(IF(VLOOKUP(B138,'Loan Master'!A5:S52,5,FALSE())="Direct",0,VLOOKUP(B138,'Loan Master'!A5:S52,16,FALSE())),"")</f>
        <v/>
      </c>
      <c r="H138" s="39" t="str">
        <f>IFERROR(VLOOKUP(B138,'Loan Master'!A5:S52,17,FALSE()),"")</f>
        <v/>
      </c>
      <c r="I138" s="95"/>
      <c r="J138" s="98"/>
      <c r="K138" s="44"/>
      <c r="L138" s="81" t="str">
        <f t="shared" si="2"/>
        <v/>
      </c>
      <c r="M138" s="82" t="str">
        <f t="shared" si="3"/>
        <v/>
      </c>
    </row>
    <row r="139" ht="15.0" customHeight="1">
      <c r="A139" s="83" t="str">
        <f t="shared" si="1"/>
        <v/>
      </c>
      <c r="B139" s="99"/>
      <c r="C139" s="85" t="str">
        <f>IFERROR(VLOOKUP(B139,'Loan Master'!A5:S52,2,FALSE()),"")</f>
        <v/>
      </c>
      <c r="D139" s="99"/>
      <c r="E139" s="87"/>
      <c r="F139" s="88" t="str">
        <f>IFERROR(VLOOKUP(B139,'Loan Master'!A5:S52,15,FALSE()),"")</f>
        <v/>
      </c>
      <c r="G139" s="89" t="str">
        <f>IFERROR(IF(VLOOKUP(B139,'Loan Master'!A5:S52,5,FALSE())="Direct",0,VLOOKUP(B139,'Loan Master'!A5:S52,16,FALSE())),"")</f>
        <v/>
      </c>
      <c r="H139" s="89" t="str">
        <f>IFERROR(VLOOKUP(B139,'Loan Master'!A5:S52,17,FALSE()),"")</f>
        <v/>
      </c>
      <c r="I139" s="96"/>
      <c r="J139" s="97"/>
      <c r="K139" s="100"/>
      <c r="L139" s="92" t="str">
        <f t="shared" si="2"/>
        <v/>
      </c>
      <c r="M139" s="82" t="str">
        <f t="shared" si="3"/>
        <v/>
      </c>
    </row>
    <row r="140" ht="15.0" customHeight="1">
      <c r="A140" s="36" t="str">
        <f t="shared" si="1"/>
        <v/>
      </c>
      <c r="B140" s="37"/>
      <c r="C140" s="75" t="str">
        <f>IFERROR(VLOOKUP(B140,'Loan Master'!A5:S52,2,FALSE()),"")</f>
        <v/>
      </c>
      <c r="D140" s="37"/>
      <c r="E140" s="61"/>
      <c r="F140" s="77" t="str">
        <f>IFERROR(VLOOKUP(B140,'Loan Master'!A5:S52,15,FALSE()),"")</f>
        <v/>
      </c>
      <c r="G140" s="39" t="str">
        <f>IFERROR(IF(VLOOKUP(B140,'Loan Master'!A5:S52,5,FALSE())="Direct",0,VLOOKUP(B140,'Loan Master'!A5:S52,16,FALSE())),"")</f>
        <v/>
      </c>
      <c r="H140" s="39" t="str">
        <f>IFERROR(VLOOKUP(B140,'Loan Master'!A5:S52,17,FALSE()),"")</f>
        <v/>
      </c>
      <c r="I140" s="95"/>
      <c r="J140" s="98"/>
      <c r="K140" s="44"/>
      <c r="L140" s="81" t="str">
        <f t="shared" si="2"/>
        <v/>
      </c>
      <c r="M140" s="82" t="str">
        <f t="shared" si="3"/>
        <v/>
      </c>
    </row>
    <row r="141" ht="15.0" customHeight="1">
      <c r="A141" s="83" t="str">
        <f t="shared" si="1"/>
        <v/>
      </c>
      <c r="B141" s="99"/>
      <c r="C141" s="85" t="str">
        <f>IFERROR(VLOOKUP(B141,'Loan Master'!A5:S52,2,FALSE()),"")</f>
        <v/>
      </c>
      <c r="D141" s="99"/>
      <c r="E141" s="87"/>
      <c r="F141" s="88" t="str">
        <f>IFERROR(VLOOKUP(B141,'Loan Master'!A5:S52,15,FALSE()),"")</f>
        <v/>
      </c>
      <c r="G141" s="89" t="str">
        <f>IFERROR(IF(VLOOKUP(B141,'Loan Master'!A5:S52,5,FALSE())="Direct",0,VLOOKUP(B141,'Loan Master'!A5:S52,16,FALSE())),"")</f>
        <v/>
      </c>
      <c r="H141" s="89" t="str">
        <f>IFERROR(VLOOKUP(B141,'Loan Master'!A5:S52,17,FALSE()),"")</f>
        <v/>
      </c>
      <c r="I141" s="96"/>
      <c r="J141" s="97"/>
      <c r="K141" s="100"/>
      <c r="L141" s="92" t="str">
        <f t="shared" si="2"/>
        <v/>
      </c>
      <c r="M141" s="82" t="str">
        <f t="shared" si="3"/>
        <v/>
      </c>
    </row>
    <row r="142" ht="15.0" customHeight="1">
      <c r="A142" s="36" t="str">
        <f t="shared" si="1"/>
        <v/>
      </c>
      <c r="B142" s="37"/>
      <c r="C142" s="75" t="str">
        <f>IFERROR(VLOOKUP(B142,'Loan Master'!A5:S52,2,FALSE()),"")</f>
        <v/>
      </c>
      <c r="D142" s="37"/>
      <c r="E142" s="61"/>
      <c r="F142" s="77" t="str">
        <f>IFERROR(VLOOKUP(B142,'Loan Master'!A5:S52,15,FALSE()),"")</f>
        <v/>
      </c>
      <c r="G142" s="39" t="str">
        <f>IFERROR(IF(VLOOKUP(B142,'Loan Master'!A5:S52,5,FALSE())="Direct",0,VLOOKUP(B142,'Loan Master'!A5:S52,16,FALSE())),"")</f>
        <v/>
      </c>
      <c r="H142" s="39" t="str">
        <f>IFERROR(VLOOKUP(B142,'Loan Master'!A5:S52,17,FALSE()),"")</f>
        <v/>
      </c>
      <c r="I142" s="95"/>
      <c r="J142" s="98"/>
      <c r="K142" s="44"/>
      <c r="L142" s="81" t="str">
        <f t="shared" si="2"/>
        <v/>
      </c>
      <c r="M142" s="82" t="str">
        <f t="shared" si="3"/>
        <v/>
      </c>
    </row>
    <row r="143" ht="15.0" customHeight="1">
      <c r="A143" s="83" t="str">
        <f t="shared" si="1"/>
        <v/>
      </c>
      <c r="B143" s="99"/>
      <c r="C143" s="85" t="str">
        <f>IFERROR(VLOOKUP(B143,'Loan Master'!A5:S52,2,FALSE()),"")</f>
        <v/>
      </c>
      <c r="D143" s="99"/>
      <c r="E143" s="87"/>
      <c r="F143" s="88" t="str">
        <f>IFERROR(VLOOKUP(B143,'Loan Master'!A5:S52,15,FALSE()),"")</f>
        <v/>
      </c>
      <c r="G143" s="89" t="str">
        <f>IFERROR(IF(VLOOKUP(B143,'Loan Master'!A5:S52,5,FALSE())="Direct",0,VLOOKUP(B143,'Loan Master'!A5:S52,16,FALSE())),"")</f>
        <v/>
      </c>
      <c r="H143" s="89" t="str">
        <f>IFERROR(VLOOKUP(B143,'Loan Master'!A5:S52,17,FALSE()),"")</f>
        <v/>
      </c>
      <c r="I143" s="96"/>
      <c r="J143" s="97"/>
      <c r="K143" s="100"/>
      <c r="L143" s="92" t="str">
        <f t="shared" si="2"/>
        <v/>
      </c>
      <c r="M143" s="82" t="str">
        <f t="shared" si="3"/>
        <v/>
      </c>
    </row>
    <row r="144" ht="15.0" customHeight="1">
      <c r="A144" s="36" t="str">
        <f t="shared" si="1"/>
        <v/>
      </c>
      <c r="B144" s="37"/>
      <c r="C144" s="75" t="str">
        <f>IFERROR(VLOOKUP(B144,'Loan Master'!A5:S52,2,FALSE()),"")</f>
        <v/>
      </c>
      <c r="D144" s="37"/>
      <c r="E144" s="61"/>
      <c r="F144" s="77" t="str">
        <f>IFERROR(VLOOKUP(B144,'Loan Master'!A5:S52,15,FALSE()),"")</f>
        <v/>
      </c>
      <c r="G144" s="39" t="str">
        <f>IFERROR(IF(VLOOKUP(B144,'Loan Master'!A5:S52,5,FALSE())="Direct",0,VLOOKUP(B144,'Loan Master'!A5:S52,16,FALSE())),"")</f>
        <v/>
      </c>
      <c r="H144" s="39" t="str">
        <f>IFERROR(VLOOKUP(B144,'Loan Master'!A5:S52,17,FALSE()),"")</f>
        <v/>
      </c>
      <c r="I144" s="95"/>
      <c r="J144" s="98"/>
      <c r="K144" s="44"/>
      <c r="L144" s="81" t="str">
        <f t="shared" si="2"/>
        <v/>
      </c>
      <c r="M144" s="82" t="str">
        <f t="shared" si="3"/>
        <v/>
      </c>
    </row>
    <row r="145" ht="15.0" customHeight="1">
      <c r="A145" s="83" t="str">
        <f t="shared" si="1"/>
        <v/>
      </c>
      <c r="B145" s="99"/>
      <c r="C145" s="85" t="str">
        <f>IFERROR(VLOOKUP(B145,'Loan Master'!A5:S52,2,FALSE()),"")</f>
        <v/>
      </c>
      <c r="D145" s="99"/>
      <c r="E145" s="87"/>
      <c r="F145" s="88" t="str">
        <f>IFERROR(VLOOKUP(B145,'Loan Master'!A5:S52,15,FALSE()),"")</f>
        <v/>
      </c>
      <c r="G145" s="89" t="str">
        <f>IFERROR(IF(VLOOKUP(B145,'Loan Master'!A5:S52,5,FALSE())="Direct",0,VLOOKUP(B145,'Loan Master'!A5:S52,16,FALSE())),"")</f>
        <v/>
      </c>
      <c r="H145" s="89" t="str">
        <f>IFERROR(VLOOKUP(B145,'Loan Master'!A5:S52,17,FALSE()),"")</f>
        <v/>
      </c>
      <c r="I145" s="96"/>
      <c r="J145" s="97"/>
      <c r="K145" s="100"/>
      <c r="L145" s="92" t="str">
        <f t="shared" si="2"/>
        <v/>
      </c>
      <c r="M145" s="82" t="str">
        <f t="shared" si="3"/>
        <v/>
      </c>
    </row>
    <row r="146" ht="15.0" customHeight="1">
      <c r="A146" s="36" t="str">
        <f t="shared" si="1"/>
        <v/>
      </c>
      <c r="B146" s="37"/>
      <c r="C146" s="75" t="str">
        <f>IFERROR(VLOOKUP(B146,'Loan Master'!A5:S52,2,FALSE()),"")</f>
        <v/>
      </c>
      <c r="D146" s="37"/>
      <c r="E146" s="61"/>
      <c r="F146" s="77" t="str">
        <f>IFERROR(VLOOKUP(B146,'Loan Master'!A5:S52,15,FALSE()),"")</f>
        <v/>
      </c>
      <c r="G146" s="39" t="str">
        <f>IFERROR(IF(VLOOKUP(B146,'Loan Master'!A5:S52,5,FALSE())="Direct",0,VLOOKUP(B146,'Loan Master'!A5:S52,16,FALSE())),"")</f>
        <v/>
      </c>
      <c r="H146" s="39" t="str">
        <f>IFERROR(VLOOKUP(B146,'Loan Master'!A5:S52,17,FALSE()),"")</f>
        <v/>
      </c>
      <c r="I146" s="95"/>
      <c r="J146" s="98"/>
      <c r="K146" s="44"/>
      <c r="L146" s="81" t="str">
        <f t="shared" si="2"/>
        <v/>
      </c>
      <c r="M146" s="82" t="str">
        <f t="shared" si="3"/>
        <v/>
      </c>
    </row>
    <row r="147" ht="15.0" customHeight="1">
      <c r="A147" s="83" t="str">
        <f t="shared" si="1"/>
        <v/>
      </c>
      <c r="B147" s="99"/>
      <c r="C147" s="85" t="str">
        <f>IFERROR(VLOOKUP(B147,'Loan Master'!A5:S52,2,FALSE()),"")</f>
        <v/>
      </c>
      <c r="D147" s="99"/>
      <c r="E147" s="87"/>
      <c r="F147" s="88" t="str">
        <f>IFERROR(VLOOKUP(B147,'Loan Master'!A5:S52,15,FALSE()),"")</f>
        <v/>
      </c>
      <c r="G147" s="89" t="str">
        <f>IFERROR(IF(VLOOKUP(B147,'Loan Master'!A5:S52,5,FALSE())="Direct",0,VLOOKUP(B147,'Loan Master'!A5:S52,16,FALSE())),"")</f>
        <v/>
      </c>
      <c r="H147" s="89" t="str">
        <f>IFERROR(VLOOKUP(B147,'Loan Master'!A5:S52,17,FALSE()),"")</f>
        <v/>
      </c>
      <c r="I147" s="96"/>
      <c r="J147" s="97"/>
      <c r="K147" s="100"/>
      <c r="L147" s="92" t="str">
        <f t="shared" si="2"/>
        <v/>
      </c>
      <c r="M147" s="82" t="str">
        <f t="shared" si="3"/>
        <v/>
      </c>
    </row>
    <row r="148" ht="15.0" customHeight="1">
      <c r="A148" s="36" t="str">
        <f t="shared" si="1"/>
        <v/>
      </c>
      <c r="B148" s="37"/>
      <c r="C148" s="75" t="str">
        <f>IFERROR(VLOOKUP(B148,'Loan Master'!A5:S52,2,FALSE()),"")</f>
        <v/>
      </c>
      <c r="D148" s="37"/>
      <c r="E148" s="61"/>
      <c r="F148" s="77" t="str">
        <f>IFERROR(VLOOKUP(B148,'Loan Master'!A5:S52,15,FALSE()),"")</f>
        <v/>
      </c>
      <c r="G148" s="39" t="str">
        <f>IFERROR(IF(VLOOKUP(B148,'Loan Master'!A5:S52,5,FALSE())="Direct",0,VLOOKUP(B148,'Loan Master'!A5:S52,16,FALSE())),"")</f>
        <v/>
      </c>
      <c r="H148" s="39" t="str">
        <f>IFERROR(VLOOKUP(B148,'Loan Master'!A5:S52,17,FALSE()),"")</f>
        <v/>
      </c>
      <c r="I148" s="95"/>
      <c r="J148" s="98"/>
      <c r="K148" s="44"/>
      <c r="L148" s="81" t="str">
        <f t="shared" si="2"/>
        <v/>
      </c>
      <c r="M148" s="82" t="str">
        <f t="shared" si="3"/>
        <v/>
      </c>
    </row>
    <row r="149" ht="15.0" customHeight="1">
      <c r="A149" s="83" t="str">
        <f t="shared" si="1"/>
        <v/>
      </c>
      <c r="B149" s="99"/>
      <c r="C149" s="85" t="str">
        <f>IFERROR(VLOOKUP(B149,'Loan Master'!A5:S52,2,FALSE()),"")</f>
        <v/>
      </c>
      <c r="D149" s="99"/>
      <c r="E149" s="87"/>
      <c r="F149" s="88" t="str">
        <f>IFERROR(VLOOKUP(B149,'Loan Master'!A5:S52,15,FALSE()),"")</f>
        <v/>
      </c>
      <c r="G149" s="89" t="str">
        <f>IFERROR(IF(VLOOKUP(B149,'Loan Master'!A5:S52,5,FALSE())="Direct",0,VLOOKUP(B149,'Loan Master'!A5:S52,16,FALSE())),"")</f>
        <v/>
      </c>
      <c r="H149" s="89" t="str">
        <f>IFERROR(VLOOKUP(B149,'Loan Master'!A5:S52,17,FALSE()),"")</f>
        <v/>
      </c>
      <c r="I149" s="96"/>
      <c r="J149" s="97"/>
      <c r="K149" s="100"/>
      <c r="L149" s="92" t="str">
        <f t="shared" si="2"/>
        <v/>
      </c>
      <c r="M149" s="82" t="str">
        <f t="shared" si="3"/>
        <v/>
      </c>
    </row>
    <row r="150" ht="15.0" customHeight="1">
      <c r="A150" s="36" t="str">
        <f t="shared" si="1"/>
        <v/>
      </c>
      <c r="B150" s="37"/>
      <c r="C150" s="75" t="str">
        <f>IFERROR(VLOOKUP(B150,'Loan Master'!A5:S52,2,FALSE()),"")</f>
        <v/>
      </c>
      <c r="D150" s="37"/>
      <c r="E150" s="61"/>
      <c r="F150" s="77" t="str">
        <f>IFERROR(VLOOKUP(B150,'Loan Master'!A5:S52,15,FALSE()),"")</f>
        <v/>
      </c>
      <c r="G150" s="39" t="str">
        <f>IFERROR(IF(VLOOKUP(B150,'Loan Master'!A5:S52,5,FALSE())="Direct",0,VLOOKUP(B150,'Loan Master'!A5:S52,16,FALSE())),"")</f>
        <v/>
      </c>
      <c r="H150" s="39" t="str">
        <f>IFERROR(VLOOKUP(B150,'Loan Master'!A5:S52,17,FALSE()),"")</f>
        <v/>
      </c>
      <c r="I150" s="95"/>
      <c r="J150" s="98"/>
      <c r="K150" s="44"/>
      <c r="L150" s="81" t="str">
        <f t="shared" si="2"/>
        <v/>
      </c>
      <c r="M150" s="82" t="str">
        <f t="shared" si="3"/>
        <v/>
      </c>
    </row>
    <row r="151" ht="15.0" customHeight="1">
      <c r="A151" s="83" t="str">
        <f t="shared" si="1"/>
        <v/>
      </c>
      <c r="B151" s="99"/>
      <c r="C151" s="85" t="str">
        <f>IFERROR(VLOOKUP(B151,'Loan Master'!A5:S52,2,FALSE()),"")</f>
        <v/>
      </c>
      <c r="D151" s="99"/>
      <c r="E151" s="87"/>
      <c r="F151" s="88" t="str">
        <f>IFERROR(VLOOKUP(B151,'Loan Master'!A5:S52,15,FALSE()),"")</f>
        <v/>
      </c>
      <c r="G151" s="89" t="str">
        <f>IFERROR(IF(VLOOKUP(B151,'Loan Master'!A5:S52,5,FALSE())="Direct",0,VLOOKUP(B151,'Loan Master'!A5:S52,16,FALSE())),"")</f>
        <v/>
      </c>
      <c r="H151" s="89" t="str">
        <f>IFERROR(VLOOKUP(B151,'Loan Master'!A5:S52,17,FALSE()),"")</f>
        <v/>
      </c>
      <c r="I151" s="96"/>
      <c r="J151" s="97"/>
      <c r="K151" s="100"/>
      <c r="L151" s="92" t="str">
        <f t="shared" si="2"/>
        <v/>
      </c>
      <c r="M151" s="82" t="str">
        <f t="shared" si="3"/>
        <v/>
      </c>
    </row>
    <row r="152" ht="15.0" customHeight="1">
      <c r="A152" s="36" t="str">
        <f t="shared" si="1"/>
        <v/>
      </c>
      <c r="B152" s="37"/>
      <c r="C152" s="75" t="str">
        <f>IFERROR(VLOOKUP(B152,'Loan Master'!A5:S52,2,FALSE()),"")</f>
        <v/>
      </c>
      <c r="D152" s="37"/>
      <c r="E152" s="61"/>
      <c r="F152" s="77" t="str">
        <f>IFERROR(VLOOKUP(B152,'Loan Master'!A5:S52,15,FALSE()),"")</f>
        <v/>
      </c>
      <c r="G152" s="39" t="str">
        <f>IFERROR(IF(VLOOKUP(B152,'Loan Master'!A5:S52,5,FALSE())="Direct",0,VLOOKUP(B152,'Loan Master'!A5:S52,16,FALSE())),"")</f>
        <v/>
      </c>
      <c r="H152" s="39" t="str">
        <f>IFERROR(VLOOKUP(B152,'Loan Master'!A5:S52,17,FALSE()),"")</f>
        <v/>
      </c>
      <c r="I152" s="95"/>
      <c r="J152" s="98"/>
      <c r="K152" s="44"/>
      <c r="L152" s="81" t="str">
        <f t="shared" si="2"/>
        <v/>
      </c>
      <c r="M152" s="82" t="str">
        <f t="shared" si="3"/>
        <v/>
      </c>
    </row>
    <row r="153" ht="15.0" customHeight="1">
      <c r="A153" s="83" t="str">
        <f t="shared" si="1"/>
        <v/>
      </c>
      <c r="B153" s="99"/>
      <c r="C153" s="85" t="str">
        <f>IFERROR(VLOOKUP(B153,'Loan Master'!A5:S52,2,FALSE()),"")</f>
        <v/>
      </c>
      <c r="D153" s="99"/>
      <c r="E153" s="87"/>
      <c r="F153" s="88" t="str">
        <f>IFERROR(VLOOKUP(B153,'Loan Master'!A5:S52,15,FALSE()),"")</f>
        <v/>
      </c>
      <c r="G153" s="89" t="str">
        <f>IFERROR(IF(VLOOKUP(B153,'Loan Master'!A5:S52,5,FALSE())="Direct",0,VLOOKUP(B153,'Loan Master'!A5:S52,16,FALSE())),"")</f>
        <v/>
      </c>
      <c r="H153" s="89" t="str">
        <f>IFERROR(VLOOKUP(B153,'Loan Master'!A5:S52,17,FALSE()),"")</f>
        <v/>
      </c>
      <c r="I153" s="96"/>
      <c r="J153" s="97"/>
      <c r="K153" s="100"/>
      <c r="L153" s="92" t="str">
        <f t="shared" si="2"/>
        <v/>
      </c>
      <c r="M153" s="82" t="str">
        <f t="shared" si="3"/>
        <v/>
      </c>
    </row>
    <row r="154" ht="15.0" customHeight="1">
      <c r="A154" s="36" t="str">
        <f t="shared" si="1"/>
        <v/>
      </c>
      <c r="B154" s="37"/>
      <c r="C154" s="75" t="str">
        <f>IFERROR(VLOOKUP(B154,'Loan Master'!A5:S52,2,FALSE()),"")</f>
        <v/>
      </c>
      <c r="D154" s="37"/>
      <c r="E154" s="61"/>
      <c r="F154" s="77" t="str">
        <f>IFERROR(VLOOKUP(B154,'Loan Master'!A5:S52,15,FALSE()),"")</f>
        <v/>
      </c>
      <c r="G154" s="39" t="str">
        <f>IFERROR(IF(VLOOKUP(B154,'Loan Master'!A5:S52,5,FALSE())="Direct",0,VLOOKUP(B154,'Loan Master'!A5:S52,16,FALSE())),"")</f>
        <v/>
      </c>
      <c r="H154" s="39" t="str">
        <f>IFERROR(VLOOKUP(B154,'Loan Master'!A5:S52,17,FALSE()),"")</f>
        <v/>
      </c>
      <c r="I154" s="95"/>
      <c r="J154" s="98"/>
      <c r="K154" s="44"/>
      <c r="L154" s="81" t="str">
        <f t="shared" si="2"/>
        <v/>
      </c>
      <c r="M154" s="82" t="str">
        <f t="shared" si="3"/>
        <v/>
      </c>
    </row>
    <row r="155" ht="15.0" customHeight="1">
      <c r="A155" s="83" t="str">
        <f t="shared" si="1"/>
        <v/>
      </c>
      <c r="B155" s="99"/>
      <c r="C155" s="85" t="str">
        <f>IFERROR(VLOOKUP(B155,'Loan Master'!A5:S52,2,FALSE()),"")</f>
        <v/>
      </c>
      <c r="D155" s="99"/>
      <c r="E155" s="87"/>
      <c r="F155" s="88" t="str">
        <f>IFERROR(VLOOKUP(B155,'Loan Master'!A5:S52,15,FALSE()),"")</f>
        <v/>
      </c>
      <c r="G155" s="89" t="str">
        <f>IFERROR(IF(VLOOKUP(B155,'Loan Master'!A5:S52,5,FALSE())="Direct",0,VLOOKUP(B155,'Loan Master'!A5:S52,16,FALSE())),"")</f>
        <v/>
      </c>
      <c r="H155" s="89" t="str">
        <f>IFERROR(VLOOKUP(B155,'Loan Master'!A5:S52,17,FALSE()),"")</f>
        <v/>
      </c>
      <c r="I155" s="96"/>
      <c r="J155" s="97"/>
      <c r="K155" s="100"/>
      <c r="L155" s="92" t="str">
        <f t="shared" si="2"/>
        <v/>
      </c>
      <c r="M155" s="82" t="str">
        <f t="shared" si="3"/>
        <v/>
      </c>
    </row>
    <row r="156" ht="15.0" customHeight="1">
      <c r="A156" s="36" t="str">
        <f t="shared" si="1"/>
        <v/>
      </c>
      <c r="B156" s="37"/>
      <c r="C156" s="75" t="str">
        <f>IFERROR(VLOOKUP(B156,'Loan Master'!A5:S52,2,FALSE()),"")</f>
        <v/>
      </c>
      <c r="D156" s="37"/>
      <c r="E156" s="61"/>
      <c r="F156" s="77" t="str">
        <f>IFERROR(VLOOKUP(B156,'Loan Master'!A5:S52,15,FALSE()),"")</f>
        <v/>
      </c>
      <c r="G156" s="39" t="str">
        <f>IFERROR(IF(VLOOKUP(B156,'Loan Master'!A5:S52,5,FALSE())="Direct",0,VLOOKUP(B156,'Loan Master'!A5:S52,16,FALSE())),"")</f>
        <v/>
      </c>
      <c r="H156" s="39" t="str">
        <f>IFERROR(VLOOKUP(B156,'Loan Master'!A5:S52,17,FALSE()),"")</f>
        <v/>
      </c>
      <c r="I156" s="95"/>
      <c r="J156" s="98"/>
      <c r="K156" s="44"/>
      <c r="L156" s="81" t="str">
        <f t="shared" si="2"/>
        <v/>
      </c>
      <c r="M156" s="82" t="str">
        <f t="shared" si="3"/>
        <v/>
      </c>
    </row>
    <row r="157" ht="15.0" customHeight="1">
      <c r="A157" s="83" t="str">
        <f t="shared" si="1"/>
        <v/>
      </c>
      <c r="B157" s="99"/>
      <c r="C157" s="85" t="str">
        <f>IFERROR(VLOOKUP(B157,'Loan Master'!A5:S52,2,FALSE()),"")</f>
        <v/>
      </c>
      <c r="D157" s="99"/>
      <c r="E157" s="87"/>
      <c r="F157" s="88" t="str">
        <f>IFERROR(VLOOKUP(B157,'Loan Master'!A5:S52,15,FALSE()),"")</f>
        <v/>
      </c>
      <c r="G157" s="89" t="str">
        <f>IFERROR(IF(VLOOKUP(B157,'Loan Master'!A5:S52,5,FALSE())="Direct",0,VLOOKUP(B157,'Loan Master'!A5:S52,16,FALSE())),"")</f>
        <v/>
      </c>
      <c r="H157" s="89" t="str">
        <f>IFERROR(VLOOKUP(B157,'Loan Master'!A5:S52,17,FALSE()),"")</f>
        <v/>
      </c>
      <c r="I157" s="96"/>
      <c r="J157" s="97"/>
      <c r="K157" s="100"/>
      <c r="L157" s="92" t="str">
        <f t="shared" si="2"/>
        <v/>
      </c>
      <c r="M157" s="82" t="str">
        <f t="shared" si="3"/>
        <v/>
      </c>
    </row>
    <row r="158" ht="15.0" customHeight="1">
      <c r="A158" s="36" t="str">
        <f t="shared" si="1"/>
        <v/>
      </c>
      <c r="B158" s="37"/>
      <c r="C158" s="75" t="str">
        <f>IFERROR(VLOOKUP(B158,'Loan Master'!A5:S52,2,FALSE()),"")</f>
        <v/>
      </c>
      <c r="D158" s="37"/>
      <c r="E158" s="61"/>
      <c r="F158" s="77" t="str">
        <f>IFERROR(VLOOKUP(B158,'Loan Master'!A5:S52,15,FALSE()),"")</f>
        <v/>
      </c>
      <c r="G158" s="39" t="str">
        <f>IFERROR(IF(VLOOKUP(B158,'Loan Master'!A5:S52,5,FALSE())="Direct",0,VLOOKUP(B158,'Loan Master'!A5:S52,16,FALSE())),"")</f>
        <v/>
      </c>
      <c r="H158" s="39" t="str">
        <f>IFERROR(VLOOKUP(B158,'Loan Master'!A5:S52,17,FALSE()),"")</f>
        <v/>
      </c>
      <c r="I158" s="95"/>
      <c r="J158" s="98"/>
      <c r="K158" s="44"/>
      <c r="L158" s="81" t="str">
        <f t="shared" si="2"/>
        <v/>
      </c>
      <c r="M158" s="82" t="str">
        <f t="shared" si="3"/>
        <v/>
      </c>
    </row>
    <row r="159" ht="15.0" customHeight="1">
      <c r="A159" s="83" t="str">
        <f t="shared" si="1"/>
        <v/>
      </c>
      <c r="B159" s="99"/>
      <c r="C159" s="85" t="str">
        <f>IFERROR(VLOOKUP(B159,'Loan Master'!A5:S52,2,FALSE()),"")</f>
        <v/>
      </c>
      <c r="D159" s="99"/>
      <c r="E159" s="87"/>
      <c r="F159" s="88" t="str">
        <f>IFERROR(VLOOKUP(B159,'Loan Master'!A5:S52,15,FALSE()),"")</f>
        <v/>
      </c>
      <c r="G159" s="89" t="str">
        <f>IFERROR(IF(VLOOKUP(B159,'Loan Master'!A5:S52,5,FALSE())="Direct",0,VLOOKUP(B159,'Loan Master'!A5:S52,16,FALSE())),"")</f>
        <v/>
      </c>
      <c r="H159" s="89" t="str">
        <f>IFERROR(VLOOKUP(B159,'Loan Master'!A5:S52,17,FALSE()),"")</f>
        <v/>
      </c>
      <c r="I159" s="96"/>
      <c r="J159" s="97"/>
      <c r="K159" s="100"/>
      <c r="L159" s="92" t="str">
        <f t="shared" si="2"/>
        <v/>
      </c>
      <c r="M159" s="82" t="str">
        <f t="shared" si="3"/>
        <v/>
      </c>
    </row>
    <row r="160" ht="15.0" customHeight="1">
      <c r="A160" s="36" t="str">
        <f t="shared" si="1"/>
        <v/>
      </c>
      <c r="B160" s="37"/>
      <c r="C160" s="75" t="str">
        <f>IFERROR(VLOOKUP(B160,'Loan Master'!A5:S52,2,FALSE()),"")</f>
        <v/>
      </c>
      <c r="D160" s="37"/>
      <c r="E160" s="61"/>
      <c r="F160" s="77" t="str">
        <f>IFERROR(VLOOKUP(B160,'Loan Master'!A5:S52,15,FALSE()),"")</f>
        <v/>
      </c>
      <c r="G160" s="39" t="str">
        <f>IFERROR(IF(VLOOKUP(B160,'Loan Master'!A5:S52,5,FALSE())="Direct",0,VLOOKUP(B160,'Loan Master'!A5:S52,16,FALSE())),"")</f>
        <v/>
      </c>
      <c r="H160" s="39" t="str">
        <f>IFERROR(VLOOKUP(B160,'Loan Master'!A5:S52,17,FALSE()),"")</f>
        <v/>
      </c>
      <c r="I160" s="95"/>
      <c r="J160" s="98"/>
      <c r="K160" s="44"/>
      <c r="L160" s="81" t="str">
        <f t="shared" si="2"/>
        <v/>
      </c>
      <c r="M160" s="82" t="str">
        <f t="shared" si="3"/>
        <v/>
      </c>
    </row>
    <row r="161" ht="15.0" customHeight="1">
      <c r="A161" s="83" t="str">
        <f t="shared" si="1"/>
        <v/>
      </c>
      <c r="B161" s="99"/>
      <c r="C161" s="85" t="str">
        <f>IFERROR(VLOOKUP(B161,'Loan Master'!A5:S52,2,FALSE()),"")</f>
        <v/>
      </c>
      <c r="D161" s="99"/>
      <c r="E161" s="87"/>
      <c r="F161" s="88" t="str">
        <f>IFERROR(VLOOKUP(B161,'Loan Master'!A5:S52,15,FALSE()),"")</f>
        <v/>
      </c>
      <c r="G161" s="89" t="str">
        <f>IFERROR(IF(VLOOKUP(B161,'Loan Master'!A5:S52,5,FALSE())="Direct",0,VLOOKUP(B161,'Loan Master'!A5:S52,16,FALSE())),"")</f>
        <v/>
      </c>
      <c r="H161" s="89" t="str">
        <f>IFERROR(VLOOKUP(B161,'Loan Master'!A5:S52,17,FALSE()),"")</f>
        <v/>
      </c>
      <c r="I161" s="96"/>
      <c r="J161" s="97"/>
      <c r="K161" s="100"/>
      <c r="L161" s="92" t="str">
        <f t="shared" si="2"/>
        <v/>
      </c>
      <c r="M161" s="82" t="str">
        <f t="shared" si="3"/>
        <v/>
      </c>
    </row>
    <row r="162" ht="15.0" customHeight="1">
      <c r="A162" s="36" t="str">
        <f t="shared" si="1"/>
        <v/>
      </c>
      <c r="B162" s="37"/>
      <c r="C162" s="75" t="str">
        <f>IFERROR(VLOOKUP(B162,'Loan Master'!A5:S52,2,FALSE()),"")</f>
        <v/>
      </c>
      <c r="D162" s="37"/>
      <c r="E162" s="61"/>
      <c r="F162" s="77" t="str">
        <f>IFERROR(VLOOKUP(B162,'Loan Master'!A5:S52,15,FALSE()),"")</f>
        <v/>
      </c>
      <c r="G162" s="39" t="str">
        <f>IFERROR(IF(VLOOKUP(B162,'Loan Master'!A5:S52,5,FALSE())="Direct",0,VLOOKUP(B162,'Loan Master'!A5:S52,16,FALSE())),"")</f>
        <v/>
      </c>
      <c r="H162" s="39" t="str">
        <f>IFERROR(VLOOKUP(B162,'Loan Master'!A5:S52,17,FALSE()),"")</f>
        <v/>
      </c>
      <c r="I162" s="95"/>
      <c r="J162" s="98"/>
      <c r="K162" s="44"/>
      <c r="L162" s="81" t="str">
        <f t="shared" si="2"/>
        <v/>
      </c>
      <c r="M162" s="82" t="str">
        <f t="shared" si="3"/>
        <v/>
      </c>
    </row>
    <row r="163" ht="15.0" customHeight="1">
      <c r="A163" s="83" t="str">
        <f t="shared" si="1"/>
        <v/>
      </c>
      <c r="B163" s="99"/>
      <c r="C163" s="85" t="str">
        <f>IFERROR(VLOOKUP(B163,'Loan Master'!A5:S52,2,FALSE()),"")</f>
        <v/>
      </c>
      <c r="D163" s="99"/>
      <c r="E163" s="87"/>
      <c r="F163" s="88" t="str">
        <f>IFERROR(VLOOKUP(B163,'Loan Master'!A5:S52,15,FALSE()),"")</f>
        <v/>
      </c>
      <c r="G163" s="89" t="str">
        <f>IFERROR(IF(VLOOKUP(B163,'Loan Master'!A5:S52,5,FALSE())="Direct",0,VLOOKUP(B163,'Loan Master'!A5:S52,16,FALSE())),"")</f>
        <v/>
      </c>
      <c r="H163" s="89" t="str">
        <f>IFERROR(VLOOKUP(B163,'Loan Master'!A5:S52,17,FALSE()),"")</f>
        <v/>
      </c>
      <c r="I163" s="96"/>
      <c r="J163" s="97"/>
      <c r="K163" s="100"/>
      <c r="L163" s="92" t="str">
        <f t="shared" si="2"/>
        <v/>
      </c>
      <c r="M163" s="82" t="str">
        <f t="shared" si="3"/>
        <v/>
      </c>
    </row>
    <row r="164" ht="15.0" customHeight="1">
      <c r="A164" s="36" t="str">
        <f t="shared" si="1"/>
        <v/>
      </c>
      <c r="B164" s="37"/>
      <c r="C164" s="75" t="str">
        <f>IFERROR(VLOOKUP(B164,'Loan Master'!A5:S52,2,FALSE()),"")</f>
        <v/>
      </c>
      <c r="D164" s="37"/>
      <c r="E164" s="61"/>
      <c r="F164" s="77" t="str">
        <f>IFERROR(VLOOKUP(B164,'Loan Master'!A5:S52,15,FALSE()),"")</f>
        <v/>
      </c>
      <c r="G164" s="39" t="str">
        <f>IFERROR(IF(VLOOKUP(B164,'Loan Master'!A5:S52,5,FALSE())="Direct",0,VLOOKUP(B164,'Loan Master'!A5:S52,16,FALSE())),"")</f>
        <v/>
      </c>
      <c r="H164" s="39" t="str">
        <f>IFERROR(VLOOKUP(B164,'Loan Master'!A5:S52,17,FALSE()),"")</f>
        <v/>
      </c>
      <c r="I164" s="95"/>
      <c r="J164" s="98"/>
      <c r="K164" s="44"/>
      <c r="L164" s="81" t="str">
        <f t="shared" si="2"/>
        <v/>
      </c>
      <c r="M164" s="82" t="str">
        <f t="shared" si="3"/>
        <v/>
      </c>
    </row>
    <row r="165" ht="15.0" customHeight="1">
      <c r="A165" s="83" t="str">
        <f t="shared" si="1"/>
        <v/>
      </c>
      <c r="B165" s="99"/>
      <c r="C165" s="85" t="str">
        <f>IFERROR(VLOOKUP(B165,'Loan Master'!A5:S52,2,FALSE()),"")</f>
        <v/>
      </c>
      <c r="D165" s="99"/>
      <c r="E165" s="87"/>
      <c r="F165" s="88" t="str">
        <f>IFERROR(VLOOKUP(B165,'Loan Master'!A5:S52,15,FALSE()),"")</f>
        <v/>
      </c>
      <c r="G165" s="89" t="str">
        <f>IFERROR(IF(VLOOKUP(B165,'Loan Master'!A5:S52,5,FALSE())="Direct",0,VLOOKUP(B165,'Loan Master'!A5:S52,16,FALSE())),"")</f>
        <v/>
      </c>
      <c r="H165" s="89" t="str">
        <f>IFERROR(VLOOKUP(B165,'Loan Master'!A5:S52,17,FALSE()),"")</f>
        <v/>
      </c>
      <c r="I165" s="96"/>
      <c r="J165" s="97"/>
      <c r="K165" s="100"/>
      <c r="L165" s="92" t="str">
        <f t="shared" si="2"/>
        <v/>
      </c>
      <c r="M165" s="82" t="str">
        <f t="shared" si="3"/>
        <v/>
      </c>
    </row>
    <row r="166" ht="15.0" customHeight="1">
      <c r="A166" s="36" t="str">
        <f t="shared" si="1"/>
        <v/>
      </c>
      <c r="B166" s="37"/>
      <c r="C166" s="75" t="str">
        <f>IFERROR(VLOOKUP(B166,'Loan Master'!A5:S52,2,FALSE()),"")</f>
        <v/>
      </c>
      <c r="D166" s="37"/>
      <c r="E166" s="61"/>
      <c r="F166" s="77" t="str">
        <f>IFERROR(VLOOKUP(B166,'Loan Master'!A5:S52,15,FALSE()),"")</f>
        <v/>
      </c>
      <c r="G166" s="39" t="str">
        <f>IFERROR(IF(VLOOKUP(B166,'Loan Master'!A5:S52,5,FALSE())="Direct",0,VLOOKUP(B166,'Loan Master'!A5:S52,16,FALSE())),"")</f>
        <v/>
      </c>
      <c r="H166" s="39" t="str">
        <f>IFERROR(VLOOKUP(B166,'Loan Master'!A5:S52,17,FALSE()),"")</f>
        <v/>
      </c>
      <c r="I166" s="95"/>
      <c r="J166" s="98"/>
      <c r="K166" s="44"/>
      <c r="L166" s="81" t="str">
        <f t="shared" si="2"/>
        <v/>
      </c>
      <c r="M166" s="82" t="str">
        <f t="shared" si="3"/>
        <v/>
      </c>
    </row>
    <row r="167" ht="15.0" customHeight="1">
      <c r="A167" s="83" t="str">
        <f t="shared" si="1"/>
        <v/>
      </c>
      <c r="B167" s="99"/>
      <c r="C167" s="85" t="str">
        <f>IFERROR(VLOOKUP(B167,'Loan Master'!A5:S52,2,FALSE()),"")</f>
        <v/>
      </c>
      <c r="D167" s="99"/>
      <c r="E167" s="87"/>
      <c r="F167" s="88" t="str">
        <f>IFERROR(VLOOKUP(B167,'Loan Master'!A5:S52,15,FALSE()),"")</f>
        <v/>
      </c>
      <c r="G167" s="89" t="str">
        <f>IFERROR(IF(VLOOKUP(B167,'Loan Master'!A5:S52,5,FALSE())="Direct",0,VLOOKUP(B167,'Loan Master'!A5:S52,16,FALSE())),"")</f>
        <v/>
      </c>
      <c r="H167" s="89" t="str">
        <f>IFERROR(VLOOKUP(B167,'Loan Master'!A5:S52,17,FALSE()),"")</f>
        <v/>
      </c>
      <c r="I167" s="96"/>
      <c r="J167" s="97"/>
      <c r="K167" s="100"/>
      <c r="L167" s="92" t="str">
        <f t="shared" si="2"/>
        <v/>
      </c>
      <c r="M167" s="82" t="str">
        <f t="shared" si="3"/>
        <v/>
      </c>
    </row>
    <row r="168" ht="15.0" customHeight="1">
      <c r="A168" s="36" t="str">
        <f t="shared" si="1"/>
        <v/>
      </c>
      <c r="B168" s="37"/>
      <c r="C168" s="75" t="str">
        <f>IFERROR(VLOOKUP(B168,'Loan Master'!A5:S52,2,FALSE()),"")</f>
        <v/>
      </c>
      <c r="D168" s="37"/>
      <c r="E168" s="61"/>
      <c r="F168" s="77" t="str">
        <f>IFERROR(VLOOKUP(B168,'Loan Master'!A5:S52,15,FALSE()),"")</f>
        <v/>
      </c>
      <c r="G168" s="39" t="str">
        <f>IFERROR(IF(VLOOKUP(B168,'Loan Master'!A5:S52,5,FALSE())="Direct",0,VLOOKUP(B168,'Loan Master'!A5:S52,16,FALSE())),"")</f>
        <v/>
      </c>
      <c r="H168" s="39" t="str">
        <f>IFERROR(VLOOKUP(B168,'Loan Master'!A5:S52,17,FALSE()),"")</f>
        <v/>
      </c>
      <c r="I168" s="95"/>
      <c r="J168" s="98"/>
      <c r="K168" s="44"/>
      <c r="L168" s="81" t="str">
        <f t="shared" si="2"/>
        <v/>
      </c>
      <c r="M168" s="82" t="str">
        <f t="shared" si="3"/>
        <v/>
      </c>
    </row>
    <row r="169" ht="15.0" customHeight="1">
      <c r="A169" s="83" t="str">
        <f t="shared" si="1"/>
        <v/>
      </c>
      <c r="B169" s="99"/>
      <c r="C169" s="85" t="str">
        <f>IFERROR(VLOOKUP(B169,'Loan Master'!A5:S52,2,FALSE()),"")</f>
        <v/>
      </c>
      <c r="D169" s="99"/>
      <c r="E169" s="87"/>
      <c r="F169" s="88" t="str">
        <f>IFERROR(VLOOKUP(B169,'Loan Master'!A5:S52,15,FALSE()),"")</f>
        <v/>
      </c>
      <c r="G169" s="89" t="str">
        <f>IFERROR(IF(VLOOKUP(B169,'Loan Master'!A5:S52,5,FALSE())="Direct",0,VLOOKUP(B169,'Loan Master'!A5:S52,16,FALSE())),"")</f>
        <v/>
      </c>
      <c r="H169" s="89" t="str">
        <f>IFERROR(VLOOKUP(B169,'Loan Master'!A5:S52,17,FALSE()),"")</f>
        <v/>
      </c>
      <c r="I169" s="96"/>
      <c r="J169" s="97"/>
      <c r="K169" s="100"/>
      <c r="L169" s="92" t="str">
        <f t="shared" si="2"/>
        <v/>
      </c>
      <c r="M169" s="82" t="str">
        <f t="shared" si="3"/>
        <v/>
      </c>
    </row>
    <row r="170" ht="15.0" customHeight="1">
      <c r="A170" s="36" t="str">
        <f t="shared" si="1"/>
        <v/>
      </c>
      <c r="B170" s="37"/>
      <c r="C170" s="75" t="str">
        <f>IFERROR(VLOOKUP(B170,'Loan Master'!A5:S52,2,FALSE()),"")</f>
        <v/>
      </c>
      <c r="D170" s="37"/>
      <c r="E170" s="61"/>
      <c r="F170" s="77" t="str">
        <f>IFERROR(VLOOKUP(B170,'Loan Master'!A5:S52,15,FALSE()),"")</f>
        <v/>
      </c>
      <c r="G170" s="39" t="str">
        <f>IFERROR(IF(VLOOKUP(B170,'Loan Master'!A5:S52,5,FALSE())="Direct",0,VLOOKUP(B170,'Loan Master'!A5:S52,16,FALSE())),"")</f>
        <v/>
      </c>
      <c r="H170" s="39" t="str">
        <f>IFERROR(VLOOKUP(B170,'Loan Master'!A5:S52,17,FALSE()),"")</f>
        <v/>
      </c>
      <c r="I170" s="95"/>
      <c r="J170" s="98"/>
      <c r="K170" s="44"/>
      <c r="L170" s="81" t="str">
        <f t="shared" si="2"/>
        <v/>
      </c>
      <c r="M170" s="82" t="str">
        <f t="shared" si="3"/>
        <v/>
      </c>
    </row>
    <row r="171" ht="15.0" customHeight="1">
      <c r="A171" s="83" t="str">
        <f t="shared" si="1"/>
        <v/>
      </c>
      <c r="B171" s="99"/>
      <c r="C171" s="85" t="str">
        <f>IFERROR(VLOOKUP(B171,'Loan Master'!A5:S52,2,FALSE()),"")</f>
        <v/>
      </c>
      <c r="D171" s="99"/>
      <c r="E171" s="87"/>
      <c r="F171" s="88" t="str">
        <f>IFERROR(VLOOKUP(B171,'Loan Master'!A5:S52,15,FALSE()),"")</f>
        <v/>
      </c>
      <c r="G171" s="89" t="str">
        <f>IFERROR(IF(VLOOKUP(B171,'Loan Master'!A5:S52,5,FALSE())="Direct",0,VLOOKUP(B171,'Loan Master'!A5:S52,16,FALSE())),"")</f>
        <v/>
      </c>
      <c r="H171" s="89" t="str">
        <f>IFERROR(VLOOKUP(B171,'Loan Master'!A5:S52,17,FALSE()),"")</f>
        <v/>
      </c>
      <c r="I171" s="96"/>
      <c r="J171" s="97"/>
      <c r="K171" s="100"/>
      <c r="L171" s="92" t="str">
        <f t="shared" si="2"/>
        <v/>
      </c>
      <c r="M171" s="82" t="str">
        <f t="shared" si="3"/>
        <v/>
      </c>
    </row>
    <row r="172" ht="15.0" customHeight="1">
      <c r="A172" s="36" t="str">
        <f t="shared" si="1"/>
        <v/>
      </c>
      <c r="B172" s="37"/>
      <c r="C172" s="75" t="str">
        <f>IFERROR(VLOOKUP(B172,'Loan Master'!A5:S52,2,FALSE()),"")</f>
        <v/>
      </c>
      <c r="D172" s="37"/>
      <c r="E172" s="61"/>
      <c r="F172" s="77" t="str">
        <f>IFERROR(VLOOKUP(B172,'Loan Master'!A5:S52,15,FALSE()),"")</f>
        <v/>
      </c>
      <c r="G172" s="39" t="str">
        <f>IFERROR(IF(VLOOKUP(B172,'Loan Master'!A5:S52,5,FALSE())="Direct",0,VLOOKUP(B172,'Loan Master'!A5:S52,16,FALSE())),"")</f>
        <v/>
      </c>
      <c r="H172" s="39" t="str">
        <f>IFERROR(VLOOKUP(B172,'Loan Master'!A5:S52,17,FALSE()),"")</f>
        <v/>
      </c>
      <c r="I172" s="95"/>
      <c r="J172" s="98"/>
      <c r="K172" s="44"/>
      <c r="L172" s="81" t="str">
        <f t="shared" si="2"/>
        <v/>
      </c>
      <c r="M172" s="82" t="str">
        <f t="shared" si="3"/>
        <v/>
      </c>
    </row>
    <row r="173" ht="15.0" customHeight="1">
      <c r="A173" s="83" t="str">
        <f t="shared" si="1"/>
        <v/>
      </c>
      <c r="B173" s="99"/>
      <c r="C173" s="85" t="str">
        <f>IFERROR(VLOOKUP(B173,'Loan Master'!A5:S52,2,FALSE()),"")</f>
        <v/>
      </c>
      <c r="D173" s="99"/>
      <c r="E173" s="87"/>
      <c r="F173" s="88" t="str">
        <f>IFERROR(VLOOKUP(B173,'Loan Master'!A5:S52,15,FALSE()),"")</f>
        <v/>
      </c>
      <c r="G173" s="89" t="str">
        <f>IFERROR(IF(VLOOKUP(B173,'Loan Master'!A5:S52,5,FALSE())="Direct",0,VLOOKUP(B173,'Loan Master'!A5:S52,16,FALSE())),"")</f>
        <v/>
      </c>
      <c r="H173" s="89" t="str">
        <f>IFERROR(VLOOKUP(B173,'Loan Master'!A5:S52,17,FALSE()),"")</f>
        <v/>
      </c>
      <c r="I173" s="96"/>
      <c r="J173" s="97"/>
      <c r="K173" s="100"/>
      <c r="L173" s="92" t="str">
        <f t="shared" si="2"/>
        <v/>
      </c>
      <c r="M173" s="82" t="str">
        <f t="shared" si="3"/>
        <v/>
      </c>
    </row>
    <row r="174" ht="15.0" customHeight="1">
      <c r="A174" s="36" t="str">
        <f t="shared" si="1"/>
        <v/>
      </c>
      <c r="B174" s="37"/>
      <c r="C174" s="75" t="str">
        <f>IFERROR(VLOOKUP(B174,'Loan Master'!A5:S52,2,FALSE()),"")</f>
        <v/>
      </c>
      <c r="D174" s="37"/>
      <c r="E174" s="61"/>
      <c r="F174" s="77" t="str">
        <f>IFERROR(VLOOKUP(B174,'Loan Master'!A5:S52,15,FALSE()),"")</f>
        <v/>
      </c>
      <c r="G174" s="39" t="str">
        <f>IFERROR(IF(VLOOKUP(B174,'Loan Master'!A5:S52,5,FALSE())="Direct",0,VLOOKUP(B174,'Loan Master'!A5:S52,16,FALSE())),"")</f>
        <v/>
      </c>
      <c r="H174" s="39" t="str">
        <f>IFERROR(VLOOKUP(B174,'Loan Master'!A5:S52,17,FALSE()),"")</f>
        <v/>
      </c>
      <c r="I174" s="95"/>
      <c r="J174" s="98"/>
      <c r="K174" s="44"/>
      <c r="L174" s="81" t="str">
        <f t="shared" si="2"/>
        <v/>
      </c>
      <c r="M174" s="82" t="str">
        <f t="shared" si="3"/>
        <v/>
      </c>
    </row>
    <row r="175" ht="15.0" customHeight="1">
      <c r="A175" s="83" t="str">
        <f t="shared" si="1"/>
        <v/>
      </c>
      <c r="B175" s="99"/>
      <c r="C175" s="85" t="str">
        <f>IFERROR(VLOOKUP(B175,'Loan Master'!A5:S52,2,FALSE()),"")</f>
        <v/>
      </c>
      <c r="D175" s="99"/>
      <c r="E175" s="87"/>
      <c r="F175" s="88" t="str">
        <f>IFERROR(VLOOKUP(B175,'Loan Master'!A5:S52,15,FALSE()),"")</f>
        <v/>
      </c>
      <c r="G175" s="89" t="str">
        <f>IFERROR(IF(VLOOKUP(B175,'Loan Master'!A5:S52,5,FALSE())="Direct",0,VLOOKUP(B175,'Loan Master'!A5:S52,16,FALSE())),"")</f>
        <v/>
      </c>
      <c r="H175" s="89" t="str">
        <f>IFERROR(VLOOKUP(B175,'Loan Master'!A5:S52,17,FALSE()),"")</f>
        <v/>
      </c>
      <c r="I175" s="96"/>
      <c r="J175" s="97"/>
      <c r="K175" s="100"/>
      <c r="L175" s="92" t="str">
        <f t="shared" si="2"/>
        <v/>
      </c>
      <c r="M175" s="82" t="str">
        <f t="shared" si="3"/>
        <v/>
      </c>
    </row>
    <row r="176" ht="15.0" customHeight="1">
      <c r="A176" s="36" t="str">
        <f t="shared" si="1"/>
        <v/>
      </c>
      <c r="B176" s="37"/>
      <c r="C176" s="75" t="str">
        <f>IFERROR(VLOOKUP(B176,'Loan Master'!A5:S52,2,FALSE()),"")</f>
        <v/>
      </c>
      <c r="D176" s="37"/>
      <c r="E176" s="61"/>
      <c r="F176" s="77" t="str">
        <f>IFERROR(VLOOKUP(B176,'Loan Master'!A5:S52,15,FALSE()),"")</f>
        <v/>
      </c>
      <c r="G176" s="39" t="str">
        <f>IFERROR(IF(VLOOKUP(B176,'Loan Master'!A5:S52,5,FALSE())="Direct",0,VLOOKUP(B176,'Loan Master'!A5:S52,16,FALSE())),"")</f>
        <v/>
      </c>
      <c r="H176" s="39" t="str">
        <f>IFERROR(VLOOKUP(B176,'Loan Master'!A5:S52,17,FALSE()),"")</f>
        <v/>
      </c>
      <c r="I176" s="95"/>
      <c r="J176" s="98"/>
      <c r="K176" s="44"/>
      <c r="L176" s="81" t="str">
        <f t="shared" si="2"/>
        <v/>
      </c>
      <c r="M176" s="82" t="str">
        <f t="shared" si="3"/>
        <v/>
      </c>
    </row>
    <row r="177" ht="15.0" customHeight="1">
      <c r="A177" s="83" t="str">
        <f t="shared" si="1"/>
        <v/>
      </c>
      <c r="B177" s="99"/>
      <c r="C177" s="85" t="str">
        <f>IFERROR(VLOOKUP(B177,'Loan Master'!A5:S52,2,FALSE()),"")</f>
        <v/>
      </c>
      <c r="D177" s="99"/>
      <c r="E177" s="87"/>
      <c r="F177" s="88" t="str">
        <f>IFERROR(VLOOKUP(B177,'Loan Master'!A5:S52,15,FALSE()),"")</f>
        <v/>
      </c>
      <c r="G177" s="89" t="str">
        <f>IFERROR(IF(VLOOKUP(B177,'Loan Master'!A5:S52,5,FALSE())="Direct",0,VLOOKUP(B177,'Loan Master'!A5:S52,16,FALSE())),"")</f>
        <v/>
      </c>
      <c r="H177" s="89" t="str">
        <f>IFERROR(VLOOKUP(B177,'Loan Master'!A5:S52,17,FALSE()),"")</f>
        <v/>
      </c>
      <c r="I177" s="96"/>
      <c r="J177" s="97"/>
      <c r="K177" s="100"/>
      <c r="L177" s="92" t="str">
        <f t="shared" si="2"/>
        <v/>
      </c>
      <c r="M177" s="82" t="str">
        <f t="shared" si="3"/>
        <v/>
      </c>
    </row>
    <row r="178" ht="15.0" customHeight="1">
      <c r="A178" s="36" t="str">
        <f t="shared" si="1"/>
        <v/>
      </c>
      <c r="B178" s="37"/>
      <c r="C178" s="75" t="str">
        <f>IFERROR(VLOOKUP(B178,'Loan Master'!A5:S52,2,FALSE()),"")</f>
        <v/>
      </c>
      <c r="D178" s="37"/>
      <c r="E178" s="61"/>
      <c r="F178" s="77" t="str">
        <f>IFERROR(VLOOKUP(B178,'Loan Master'!A5:S52,15,FALSE()),"")</f>
        <v/>
      </c>
      <c r="G178" s="39" t="str">
        <f>IFERROR(IF(VLOOKUP(B178,'Loan Master'!A5:S52,5,FALSE())="Direct",0,VLOOKUP(B178,'Loan Master'!A5:S52,16,FALSE())),"")</f>
        <v/>
      </c>
      <c r="H178" s="39" t="str">
        <f>IFERROR(VLOOKUP(B178,'Loan Master'!A5:S52,17,FALSE()),"")</f>
        <v/>
      </c>
      <c r="I178" s="95"/>
      <c r="J178" s="98"/>
      <c r="K178" s="44"/>
      <c r="L178" s="81" t="str">
        <f t="shared" si="2"/>
        <v/>
      </c>
      <c r="M178" s="82" t="str">
        <f t="shared" si="3"/>
        <v/>
      </c>
    </row>
    <row r="179" ht="15.0" customHeight="1">
      <c r="A179" s="83" t="str">
        <f t="shared" si="1"/>
        <v/>
      </c>
      <c r="B179" s="99"/>
      <c r="C179" s="85" t="str">
        <f>IFERROR(VLOOKUP(B179,'Loan Master'!A5:S52,2,FALSE()),"")</f>
        <v/>
      </c>
      <c r="D179" s="99"/>
      <c r="E179" s="87"/>
      <c r="F179" s="88" t="str">
        <f>IFERROR(VLOOKUP(B179,'Loan Master'!A5:S52,15,FALSE()),"")</f>
        <v/>
      </c>
      <c r="G179" s="89" t="str">
        <f>IFERROR(IF(VLOOKUP(B179,'Loan Master'!A5:S52,5,FALSE())="Direct",0,VLOOKUP(B179,'Loan Master'!A5:S52,16,FALSE())),"")</f>
        <v/>
      </c>
      <c r="H179" s="89" t="str">
        <f>IFERROR(VLOOKUP(B179,'Loan Master'!A5:S52,17,FALSE()),"")</f>
        <v/>
      </c>
      <c r="I179" s="96"/>
      <c r="J179" s="97"/>
      <c r="K179" s="100"/>
      <c r="L179" s="92" t="str">
        <f t="shared" si="2"/>
        <v/>
      </c>
      <c r="M179" s="82" t="str">
        <f t="shared" si="3"/>
        <v/>
      </c>
    </row>
    <row r="180" ht="15.0" customHeight="1">
      <c r="A180" s="36" t="str">
        <f t="shared" si="1"/>
        <v/>
      </c>
      <c r="B180" s="37"/>
      <c r="C180" s="75" t="str">
        <f>IFERROR(VLOOKUP(B180,'Loan Master'!A5:S52,2,FALSE()),"")</f>
        <v/>
      </c>
      <c r="D180" s="37"/>
      <c r="E180" s="61"/>
      <c r="F180" s="77" t="str">
        <f>IFERROR(VLOOKUP(B180,'Loan Master'!A5:S52,15,FALSE()),"")</f>
        <v/>
      </c>
      <c r="G180" s="39" t="str">
        <f>IFERROR(IF(VLOOKUP(B180,'Loan Master'!A5:S52,5,FALSE())="Direct",0,VLOOKUP(B180,'Loan Master'!A5:S52,16,FALSE())),"")</f>
        <v/>
      </c>
      <c r="H180" s="39" t="str">
        <f>IFERROR(VLOOKUP(B180,'Loan Master'!A5:S52,17,FALSE()),"")</f>
        <v/>
      </c>
      <c r="I180" s="95"/>
      <c r="J180" s="98"/>
      <c r="K180" s="44"/>
      <c r="L180" s="81" t="str">
        <f t="shared" si="2"/>
        <v/>
      </c>
      <c r="M180" s="82" t="str">
        <f t="shared" si="3"/>
        <v/>
      </c>
    </row>
    <row r="181" ht="15.0" customHeight="1">
      <c r="A181" s="83" t="str">
        <f t="shared" si="1"/>
        <v/>
      </c>
      <c r="B181" s="99"/>
      <c r="C181" s="85" t="str">
        <f>IFERROR(VLOOKUP(B181,'Loan Master'!A5:S52,2,FALSE()),"")</f>
        <v/>
      </c>
      <c r="D181" s="99"/>
      <c r="E181" s="87"/>
      <c r="F181" s="88" t="str">
        <f>IFERROR(VLOOKUP(B181,'Loan Master'!A5:S52,15,FALSE()),"")</f>
        <v/>
      </c>
      <c r="G181" s="89" t="str">
        <f>IFERROR(IF(VLOOKUP(B181,'Loan Master'!A5:S52,5,FALSE())="Direct",0,VLOOKUP(B181,'Loan Master'!A5:S52,16,FALSE())),"")</f>
        <v/>
      </c>
      <c r="H181" s="89" t="str">
        <f>IFERROR(VLOOKUP(B181,'Loan Master'!A5:S52,17,FALSE()),"")</f>
        <v/>
      </c>
      <c r="I181" s="96"/>
      <c r="J181" s="97"/>
      <c r="K181" s="100"/>
      <c r="L181" s="92" t="str">
        <f t="shared" si="2"/>
        <v/>
      </c>
      <c r="M181" s="82" t="str">
        <f t="shared" si="3"/>
        <v/>
      </c>
    </row>
    <row r="182" ht="15.0" customHeight="1">
      <c r="A182" s="36" t="str">
        <f t="shared" si="1"/>
        <v/>
      </c>
      <c r="B182" s="37"/>
      <c r="C182" s="75" t="str">
        <f>IFERROR(VLOOKUP(B182,'Loan Master'!A5:S52,2,FALSE()),"")</f>
        <v/>
      </c>
      <c r="D182" s="37"/>
      <c r="E182" s="61"/>
      <c r="F182" s="77" t="str">
        <f>IFERROR(VLOOKUP(B182,'Loan Master'!A5:S52,15,FALSE()),"")</f>
        <v/>
      </c>
      <c r="G182" s="39" t="str">
        <f>IFERROR(IF(VLOOKUP(B182,'Loan Master'!A5:S52,5,FALSE())="Direct",0,VLOOKUP(B182,'Loan Master'!A5:S52,16,FALSE())),"")</f>
        <v/>
      </c>
      <c r="H182" s="39" t="str">
        <f>IFERROR(VLOOKUP(B182,'Loan Master'!A5:S52,17,FALSE()),"")</f>
        <v/>
      </c>
      <c r="I182" s="95"/>
      <c r="J182" s="98"/>
      <c r="K182" s="44"/>
      <c r="L182" s="81" t="str">
        <f t="shared" si="2"/>
        <v/>
      </c>
      <c r="M182" s="82" t="str">
        <f t="shared" si="3"/>
        <v/>
      </c>
    </row>
    <row r="183" ht="15.0" customHeight="1">
      <c r="A183" s="83" t="str">
        <f t="shared" si="1"/>
        <v/>
      </c>
      <c r="B183" s="99"/>
      <c r="C183" s="85" t="str">
        <f>IFERROR(VLOOKUP(B183,'Loan Master'!A5:S52,2,FALSE()),"")</f>
        <v/>
      </c>
      <c r="D183" s="99"/>
      <c r="E183" s="87"/>
      <c r="F183" s="88" t="str">
        <f>IFERROR(VLOOKUP(B183,'Loan Master'!A5:S52,15,FALSE()),"")</f>
        <v/>
      </c>
      <c r="G183" s="89" t="str">
        <f>IFERROR(IF(VLOOKUP(B183,'Loan Master'!A5:S52,5,FALSE())="Direct",0,VLOOKUP(B183,'Loan Master'!A5:S52,16,FALSE())),"")</f>
        <v/>
      </c>
      <c r="H183" s="89" t="str">
        <f>IFERROR(VLOOKUP(B183,'Loan Master'!A5:S52,17,FALSE()),"")</f>
        <v/>
      </c>
      <c r="I183" s="96"/>
      <c r="J183" s="97"/>
      <c r="K183" s="100"/>
      <c r="L183" s="92" t="str">
        <f t="shared" si="2"/>
        <v/>
      </c>
      <c r="M183" s="82" t="str">
        <f t="shared" si="3"/>
        <v/>
      </c>
    </row>
    <row r="184" ht="15.0" customHeight="1">
      <c r="A184" s="36" t="str">
        <f t="shared" si="1"/>
        <v/>
      </c>
      <c r="B184" s="37"/>
      <c r="C184" s="75" t="str">
        <f>IFERROR(VLOOKUP(B184,'Loan Master'!A5:S52,2,FALSE()),"")</f>
        <v/>
      </c>
      <c r="D184" s="37"/>
      <c r="E184" s="61"/>
      <c r="F184" s="77" t="str">
        <f>IFERROR(VLOOKUP(B184,'Loan Master'!A5:S52,15,FALSE()),"")</f>
        <v/>
      </c>
      <c r="G184" s="39" t="str">
        <f>IFERROR(IF(VLOOKUP(B184,'Loan Master'!A5:S52,5,FALSE())="Direct",0,VLOOKUP(B184,'Loan Master'!A5:S52,16,FALSE())),"")</f>
        <v/>
      </c>
      <c r="H184" s="39" t="str">
        <f>IFERROR(VLOOKUP(B184,'Loan Master'!A5:S52,17,FALSE()),"")</f>
        <v/>
      </c>
      <c r="I184" s="95"/>
      <c r="J184" s="98"/>
      <c r="K184" s="44"/>
      <c r="L184" s="81" t="str">
        <f t="shared" si="2"/>
        <v/>
      </c>
      <c r="M184" s="82" t="str">
        <f t="shared" si="3"/>
        <v/>
      </c>
    </row>
    <row r="185" ht="15.0" customHeight="1">
      <c r="A185" s="83" t="str">
        <f t="shared" si="1"/>
        <v/>
      </c>
      <c r="B185" s="99"/>
      <c r="C185" s="85" t="str">
        <f>IFERROR(VLOOKUP(B185,'Loan Master'!A5:S52,2,FALSE()),"")</f>
        <v/>
      </c>
      <c r="D185" s="99"/>
      <c r="E185" s="87"/>
      <c r="F185" s="88" t="str">
        <f>IFERROR(VLOOKUP(B185,'Loan Master'!A5:S52,15,FALSE()),"")</f>
        <v/>
      </c>
      <c r="G185" s="89" t="str">
        <f>IFERROR(IF(VLOOKUP(B185,'Loan Master'!A5:S52,5,FALSE())="Direct",0,VLOOKUP(B185,'Loan Master'!A5:S52,16,FALSE())),"")</f>
        <v/>
      </c>
      <c r="H185" s="89" t="str">
        <f>IFERROR(VLOOKUP(B185,'Loan Master'!A5:S52,17,FALSE()),"")</f>
        <v/>
      </c>
      <c r="I185" s="96"/>
      <c r="J185" s="97"/>
      <c r="K185" s="100"/>
      <c r="L185" s="92" t="str">
        <f t="shared" si="2"/>
        <v/>
      </c>
      <c r="M185" s="82" t="str">
        <f t="shared" si="3"/>
        <v/>
      </c>
    </row>
    <row r="186" ht="15.0" customHeight="1">
      <c r="A186" s="36" t="str">
        <f t="shared" si="1"/>
        <v/>
      </c>
      <c r="B186" s="37"/>
      <c r="C186" s="75" t="str">
        <f>IFERROR(VLOOKUP(B186,'Loan Master'!A5:S52,2,FALSE()),"")</f>
        <v/>
      </c>
      <c r="D186" s="37"/>
      <c r="E186" s="61"/>
      <c r="F186" s="77" t="str">
        <f>IFERROR(VLOOKUP(B186,'Loan Master'!A5:S52,15,FALSE()),"")</f>
        <v/>
      </c>
      <c r="G186" s="39" t="str">
        <f>IFERROR(IF(VLOOKUP(B186,'Loan Master'!A5:S52,5,FALSE())="Direct",0,VLOOKUP(B186,'Loan Master'!A5:S52,16,FALSE())),"")</f>
        <v/>
      </c>
      <c r="H186" s="39" t="str">
        <f>IFERROR(VLOOKUP(B186,'Loan Master'!A5:S52,17,FALSE()),"")</f>
        <v/>
      </c>
      <c r="I186" s="95"/>
      <c r="J186" s="98"/>
      <c r="K186" s="44"/>
      <c r="L186" s="81" t="str">
        <f t="shared" si="2"/>
        <v/>
      </c>
      <c r="M186" s="82" t="str">
        <f t="shared" si="3"/>
        <v/>
      </c>
    </row>
    <row r="187" ht="15.0" customHeight="1">
      <c r="A187" s="83" t="str">
        <f t="shared" si="1"/>
        <v/>
      </c>
      <c r="B187" s="99"/>
      <c r="C187" s="85" t="str">
        <f>IFERROR(VLOOKUP(B187,'Loan Master'!A5:S52,2,FALSE()),"")</f>
        <v/>
      </c>
      <c r="D187" s="99"/>
      <c r="E187" s="87"/>
      <c r="F187" s="88" t="str">
        <f>IFERROR(VLOOKUP(B187,'Loan Master'!A5:S52,15,FALSE()),"")</f>
        <v/>
      </c>
      <c r="G187" s="89" t="str">
        <f>IFERROR(IF(VLOOKUP(B187,'Loan Master'!A5:S52,5,FALSE())="Direct",0,VLOOKUP(B187,'Loan Master'!A5:S52,16,FALSE())),"")</f>
        <v/>
      </c>
      <c r="H187" s="89" t="str">
        <f>IFERROR(VLOOKUP(B187,'Loan Master'!A5:S52,17,FALSE()),"")</f>
        <v/>
      </c>
      <c r="I187" s="96"/>
      <c r="J187" s="97"/>
      <c r="K187" s="100"/>
      <c r="L187" s="92" t="str">
        <f t="shared" si="2"/>
        <v/>
      </c>
      <c r="M187" s="82" t="str">
        <f t="shared" si="3"/>
        <v/>
      </c>
    </row>
    <row r="188" ht="15.0" customHeight="1">
      <c r="A188" s="36" t="str">
        <f t="shared" si="1"/>
        <v/>
      </c>
      <c r="B188" s="37"/>
      <c r="C188" s="75" t="str">
        <f>IFERROR(VLOOKUP(B188,'Loan Master'!A5:S52,2,FALSE()),"")</f>
        <v/>
      </c>
      <c r="D188" s="37"/>
      <c r="E188" s="61"/>
      <c r="F188" s="77" t="str">
        <f>IFERROR(VLOOKUP(B188,'Loan Master'!A5:S52,15,FALSE()),"")</f>
        <v/>
      </c>
      <c r="G188" s="39" t="str">
        <f>IFERROR(IF(VLOOKUP(B188,'Loan Master'!A5:S52,5,FALSE())="Direct",0,VLOOKUP(B188,'Loan Master'!A5:S52,16,FALSE())),"")</f>
        <v/>
      </c>
      <c r="H188" s="39" t="str">
        <f>IFERROR(VLOOKUP(B188,'Loan Master'!A5:S52,17,FALSE()),"")</f>
        <v/>
      </c>
      <c r="I188" s="95"/>
      <c r="J188" s="98"/>
      <c r="K188" s="44"/>
      <c r="L188" s="81" t="str">
        <f t="shared" si="2"/>
        <v/>
      </c>
      <c r="M188" s="82" t="str">
        <f t="shared" si="3"/>
        <v/>
      </c>
    </row>
    <row r="189" ht="15.0" customHeight="1">
      <c r="A189" s="83" t="str">
        <f t="shared" si="1"/>
        <v/>
      </c>
      <c r="B189" s="99"/>
      <c r="C189" s="85" t="str">
        <f>IFERROR(VLOOKUP(B189,'Loan Master'!A5:S52,2,FALSE()),"")</f>
        <v/>
      </c>
      <c r="D189" s="99"/>
      <c r="E189" s="87"/>
      <c r="F189" s="88" t="str">
        <f>IFERROR(VLOOKUP(B189,'Loan Master'!A5:S52,15,FALSE()),"")</f>
        <v/>
      </c>
      <c r="G189" s="89" t="str">
        <f>IFERROR(IF(VLOOKUP(B189,'Loan Master'!A5:S52,5,FALSE())="Direct",0,VLOOKUP(B189,'Loan Master'!A5:S52,16,FALSE())),"")</f>
        <v/>
      </c>
      <c r="H189" s="89" t="str">
        <f>IFERROR(VLOOKUP(B189,'Loan Master'!A5:S52,17,FALSE()),"")</f>
        <v/>
      </c>
      <c r="I189" s="96"/>
      <c r="J189" s="97"/>
      <c r="K189" s="100"/>
      <c r="L189" s="92" t="str">
        <f t="shared" si="2"/>
        <v/>
      </c>
      <c r="M189" s="82" t="str">
        <f t="shared" si="3"/>
        <v/>
      </c>
    </row>
    <row r="190" ht="15.0" customHeight="1">
      <c r="A190" s="36" t="str">
        <f t="shared" si="1"/>
        <v/>
      </c>
      <c r="B190" s="37"/>
      <c r="C190" s="75" t="str">
        <f>IFERROR(VLOOKUP(B190,'Loan Master'!A5:S52,2,FALSE()),"")</f>
        <v/>
      </c>
      <c r="D190" s="37"/>
      <c r="E190" s="61"/>
      <c r="F190" s="77" t="str">
        <f>IFERROR(VLOOKUP(B190,'Loan Master'!A5:S52,15,FALSE()),"")</f>
        <v/>
      </c>
      <c r="G190" s="39" t="str">
        <f>IFERROR(IF(VLOOKUP(B190,'Loan Master'!A5:S52,5,FALSE())="Direct",0,VLOOKUP(B190,'Loan Master'!A5:S52,16,FALSE())),"")</f>
        <v/>
      </c>
      <c r="H190" s="39" t="str">
        <f>IFERROR(VLOOKUP(B190,'Loan Master'!A5:S52,17,FALSE()),"")</f>
        <v/>
      </c>
      <c r="I190" s="95"/>
      <c r="J190" s="98"/>
      <c r="K190" s="44"/>
      <c r="L190" s="81" t="str">
        <f t="shared" si="2"/>
        <v/>
      </c>
      <c r="M190" s="82" t="str">
        <f t="shared" si="3"/>
        <v/>
      </c>
    </row>
    <row r="191" ht="15.0" customHeight="1">
      <c r="A191" s="83" t="str">
        <f t="shared" si="1"/>
        <v/>
      </c>
      <c r="B191" s="99"/>
      <c r="C191" s="85" t="str">
        <f>IFERROR(VLOOKUP(B191,'Loan Master'!A5:S52,2,FALSE()),"")</f>
        <v/>
      </c>
      <c r="D191" s="99"/>
      <c r="E191" s="87"/>
      <c r="F191" s="88" t="str">
        <f>IFERROR(VLOOKUP(B191,'Loan Master'!A5:S52,15,FALSE()),"")</f>
        <v/>
      </c>
      <c r="G191" s="89" t="str">
        <f>IFERROR(IF(VLOOKUP(B191,'Loan Master'!A5:S52,5,FALSE())="Direct",0,VLOOKUP(B191,'Loan Master'!A5:S52,16,FALSE())),"")</f>
        <v/>
      </c>
      <c r="H191" s="89" t="str">
        <f>IFERROR(VLOOKUP(B191,'Loan Master'!A5:S52,17,FALSE()),"")</f>
        <v/>
      </c>
      <c r="I191" s="96"/>
      <c r="J191" s="97"/>
      <c r="K191" s="100"/>
      <c r="L191" s="92" t="str">
        <f t="shared" si="2"/>
        <v/>
      </c>
      <c r="M191" s="82" t="str">
        <f t="shared" si="3"/>
        <v/>
      </c>
    </row>
    <row r="192" ht="15.0" customHeight="1">
      <c r="A192" s="36" t="str">
        <f t="shared" si="1"/>
        <v/>
      </c>
      <c r="B192" s="37"/>
      <c r="C192" s="75" t="str">
        <f>IFERROR(VLOOKUP(B192,'Loan Master'!A5:S52,2,FALSE()),"")</f>
        <v/>
      </c>
      <c r="D192" s="37"/>
      <c r="E192" s="61"/>
      <c r="F192" s="77" t="str">
        <f>IFERROR(VLOOKUP(B192,'Loan Master'!A5:S52,15,FALSE()),"")</f>
        <v/>
      </c>
      <c r="G192" s="39" t="str">
        <f>IFERROR(IF(VLOOKUP(B192,'Loan Master'!A5:S52,5,FALSE())="Direct",0,VLOOKUP(B192,'Loan Master'!A5:S52,16,FALSE())),"")</f>
        <v/>
      </c>
      <c r="H192" s="39" t="str">
        <f>IFERROR(VLOOKUP(B192,'Loan Master'!A5:S52,17,FALSE()),"")</f>
        <v/>
      </c>
      <c r="I192" s="95"/>
      <c r="J192" s="98"/>
      <c r="K192" s="44"/>
      <c r="L192" s="81" t="str">
        <f t="shared" si="2"/>
        <v/>
      </c>
      <c r="M192" s="82" t="str">
        <f t="shared" si="3"/>
        <v/>
      </c>
    </row>
    <row r="193" ht="15.0" customHeight="1">
      <c r="A193" s="83" t="str">
        <f t="shared" si="1"/>
        <v/>
      </c>
      <c r="B193" s="99"/>
      <c r="C193" s="85" t="str">
        <f>IFERROR(VLOOKUP(B193,'Loan Master'!A5:S52,2,FALSE()),"")</f>
        <v/>
      </c>
      <c r="D193" s="99"/>
      <c r="E193" s="87"/>
      <c r="F193" s="88" t="str">
        <f>IFERROR(VLOOKUP(B193,'Loan Master'!A5:S52,15,FALSE()),"")</f>
        <v/>
      </c>
      <c r="G193" s="89" t="str">
        <f>IFERROR(IF(VLOOKUP(B193,'Loan Master'!A5:S52,5,FALSE())="Direct",0,VLOOKUP(B193,'Loan Master'!A5:S52,16,FALSE())),"")</f>
        <v/>
      </c>
      <c r="H193" s="89" t="str">
        <f>IFERROR(VLOOKUP(B193,'Loan Master'!A5:S52,17,FALSE()),"")</f>
        <v/>
      </c>
      <c r="I193" s="96"/>
      <c r="J193" s="97"/>
      <c r="K193" s="100"/>
      <c r="L193" s="92" t="str">
        <f t="shared" si="2"/>
        <v/>
      </c>
      <c r="M193" s="82" t="str">
        <f t="shared" si="3"/>
        <v/>
      </c>
    </row>
    <row r="194" ht="15.0" customHeight="1">
      <c r="A194" s="36" t="str">
        <f t="shared" si="1"/>
        <v/>
      </c>
      <c r="B194" s="37"/>
      <c r="C194" s="75" t="str">
        <f>IFERROR(VLOOKUP(B194,'Loan Master'!A5:S52,2,FALSE()),"")</f>
        <v/>
      </c>
      <c r="D194" s="37"/>
      <c r="E194" s="61"/>
      <c r="F194" s="77" t="str">
        <f>IFERROR(VLOOKUP(B194,'Loan Master'!A5:S52,15,FALSE()),"")</f>
        <v/>
      </c>
      <c r="G194" s="39" t="str">
        <f>IFERROR(IF(VLOOKUP(B194,'Loan Master'!A5:S52,5,FALSE())="Direct",0,VLOOKUP(B194,'Loan Master'!A5:S52,16,FALSE())),"")</f>
        <v/>
      </c>
      <c r="H194" s="39" t="str">
        <f>IFERROR(VLOOKUP(B194,'Loan Master'!A5:S52,17,FALSE()),"")</f>
        <v/>
      </c>
      <c r="I194" s="95"/>
      <c r="J194" s="98"/>
      <c r="K194" s="44"/>
      <c r="L194" s="81" t="str">
        <f t="shared" si="2"/>
        <v/>
      </c>
      <c r="M194" s="82" t="str">
        <f t="shared" si="3"/>
        <v/>
      </c>
    </row>
    <row r="195" ht="15.0" customHeight="1">
      <c r="A195" s="83" t="str">
        <f t="shared" si="1"/>
        <v/>
      </c>
      <c r="B195" s="99"/>
      <c r="C195" s="85" t="str">
        <f>IFERROR(VLOOKUP(B195,'Loan Master'!A5:S52,2,FALSE()),"")</f>
        <v/>
      </c>
      <c r="D195" s="99"/>
      <c r="E195" s="87"/>
      <c r="F195" s="88" t="str">
        <f>IFERROR(VLOOKUP(B195,'Loan Master'!A5:S52,15,FALSE()),"")</f>
        <v/>
      </c>
      <c r="G195" s="89" t="str">
        <f>IFERROR(IF(VLOOKUP(B195,'Loan Master'!A5:S52,5,FALSE())="Direct",0,VLOOKUP(B195,'Loan Master'!A5:S52,16,FALSE())),"")</f>
        <v/>
      </c>
      <c r="H195" s="89" t="str">
        <f>IFERROR(VLOOKUP(B195,'Loan Master'!A5:S52,17,FALSE()),"")</f>
        <v/>
      </c>
      <c r="I195" s="96"/>
      <c r="J195" s="97"/>
      <c r="K195" s="100"/>
      <c r="L195" s="92" t="str">
        <f t="shared" si="2"/>
        <v/>
      </c>
      <c r="M195" s="82" t="str">
        <f t="shared" si="3"/>
        <v/>
      </c>
    </row>
    <row r="196" ht="15.0" customHeight="1">
      <c r="A196" s="36" t="str">
        <f t="shared" si="1"/>
        <v/>
      </c>
      <c r="B196" s="37"/>
      <c r="C196" s="75" t="str">
        <f>IFERROR(VLOOKUP(B196,'Loan Master'!A5:S52,2,FALSE()),"")</f>
        <v/>
      </c>
      <c r="D196" s="37"/>
      <c r="E196" s="61"/>
      <c r="F196" s="77" t="str">
        <f>IFERROR(VLOOKUP(B196,'Loan Master'!A5:S52,15,FALSE()),"")</f>
        <v/>
      </c>
      <c r="G196" s="39" t="str">
        <f>IFERROR(IF(VLOOKUP(B196,'Loan Master'!A5:S52,5,FALSE())="Direct",0,VLOOKUP(B196,'Loan Master'!A5:S52,16,FALSE())),"")</f>
        <v/>
      </c>
      <c r="H196" s="39" t="str">
        <f>IFERROR(VLOOKUP(B196,'Loan Master'!A5:S52,17,FALSE()),"")</f>
        <v/>
      </c>
      <c r="I196" s="95"/>
      <c r="J196" s="98"/>
      <c r="K196" s="44"/>
      <c r="L196" s="81" t="str">
        <f t="shared" si="2"/>
        <v/>
      </c>
      <c r="M196" s="82" t="str">
        <f t="shared" si="3"/>
        <v/>
      </c>
    </row>
    <row r="197" ht="15.0" customHeight="1">
      <c r="A197" s="83" t="str">
        <f t="shared" si="1"/>
        <v/>
      </c>
      <c r="B197" s="99"/>
      <c r="C197" s="85" t="str">
        <f>IFERROR(VLOOKUP(B197,'Loan Master'!A5:S52,2,FALSE()),"")</f>
        <v/>
      </c>
      <c r="D197" s="99"/>
      <c r="E197" s="87"/>
      <c r="F197" s="88" t="str">
        <f>IFERROR(VLOOKUP(B197,'Loan Master'!A5:S52,15,FALSE()),"")</f>
        <v/>
      </c>
      <c r="G197" s="89" t="str">
        <f>IFERROR(IF(VLOOKUP(B197,'Loan Master'!A5:S52,5,FALSE())="Direct",0,VLOOKUP(B197,'Loan Master'!A5:S52,16,FALSE())),"")</f>
        <v/>
      </c>
      <c r="H197" s="89" t="str">
        <f>IFERROR(VLOOKUP(B197,'Loan Master'!A5:S52,17,FALSE()),"")</f>
        <v/>
      </c>
      <c r="I197" s="96"/>
      <c r="J197" s="97"/>
      <c r="K197" s="100"/>
      <c r="L197" s="92" t="str">
        <f t="shared" si="2"/>
        <v/>
      </c>
      <c r="M197" s="82" t="str">
        <f t="shared" si="3"/>
        <v/>
      </c>
    </row>
    <row r="198" ht="15.0" customHeight="1">
      <c r="A198" s="36" t="str">
        <f t="shared" si="1"/>
        <v/>
      </c>
      <c r="B198" s="37"/>
      <c r="C198" s="75" t="str">
        <f>IFERROR(VLOOKUP(B198,'Loan Master'!A5:S52,2,FALSE()),"")</f>
        <v/>
      </c>
      <c r="D198" s="37"/>
      <c r="E198" s="61"/>
      <c r="F198" s="77" t="str">
        <f>IFERROR(VLOOKUP(B198,'Loan Master'!A5:S52,15,FALSE()),"")</f>
        <v/>
      </c>
      <c r="G198" s="39" t="str">
        <f>IFERROR(IF(VLOOKUP(B198,'Loan Master'!A5:S52,5,FALSE())="Direct",0,VLOOKUP(B198,'Loan Master'!A5:S52,16,FALSE())),"")</f>
        <v/>
      </c>
      <c r="H198" s="61" t="str">
        <f>IFERROR(VLOOKUP(B198,'Loan Master'!A5:S52,17,FALSE()),"")</f>
        <v/>
      </c>
      <c r="I198" s="37"/>
      <c r="J198" s="42"/>
      <c r="K198" s="44"/>
      <c r="L198" s="81" t="str">
        <f t="shared" si="2"/>
        <v/>
      </c>
      <c r="M198" s="101" t="str">
        <f t="shared" si="3"/>
        <v/>
      </c>
    </row>
    <row r="199" ht="15.0" customHeight="1">
      <c r="A199" s="83" t="str">
        <f t="shared" si="1"/>
        <v/>
      </c>
      <c r="B199" s="99"/>
      <c r="C199" s="85" t="str">
        <f>IFERROR(VLOOKUP(B199,'Loan Master'!A5:S52,2,FALSE()),"")</f>
        <v/>
      </c>
      <c r="D199" s="99"/>
      <c r="E199" s="87"/>
      <c r="F199" s="88" t="str">
        <f>IFERROR(VLOOKUP(B199,'Loan Master'!A5:S52,15,FALSE()),"")</f>
        <v/>
      </c>
      <c r="G199" s="89" t="str">
        <f>IFERROR(IF(VLOOKUP(B199,'Loan Master'!A5:S52,5,FALSE())="Direct",0,VLOOKUP(B199,'Loan Master'!A5:S52,16,FALSE())),"")</f>
        <v/>
      </c>
      <c r="H199" s="87" t="str">
        <f>IFERROR(VLOOKUP(B199,'Loan Master'!A5:S52,17,FALSE()),"")</f>
        <v/>
      </c>
      <c r="I199" s="99"/>
      <c r="J199" s="102"/>
      <c r="K199" s="100"/>
      <c r="L199" s="92" t="str">
        <f t="shared" si="2"/>
        <v/>
      </c>
      <c r="M199" s="101" t="str">
        <f t="shared" si="3"/>
        <v/>
      </c>
    </row>
    <row r="200" ht="15.0" customHeight="1">
      <c r="A200" s="36" t="str">
        <f t="shared" si="1"/>
        <v/>
      </c>
      <c r="B200" s="37"/>
      <c r="C200" s="75" t="str">
        <f>IFERROR(VLOOKUP(B200,'Loan Master'!A5:S52,2,FALSE()),"")</f>
        <v/>
      </c>
      <c r="D200" s="37"/>
      <c r="E200" s="61"/>
      <c r="F200" s="77" t="str">
        <f>IFERROR(VLOOKUP(B200,'Loan Master'!A5:S52,15,FALSE()),"")</f>
        <v/>
      </c>
      <c r="G200" s="39" t="str">
        <f>IFERROR(IF(VLOOKUP(B200,'Loan Master'!A5:S52,5,FALSE())="Direct",0,VLOOKUP(B200,'Loan Master'!A5:S52,16,FALSE())),"")</f>
        <v/>
      </c>
      <c r="H200" s="61" t="str">
        <f>IFERROR(VLOOKUP(B200,'Loan Master'!A5:S52,17,FALSE()),"")</f>
        <v/>
      </c>
      <c r="I200" s="37"/>
      <c r="J200" s="42"/>
      <c r="K200" s="44"/>
      <c r="L200" s="81" t="str">
        <f t="shared" si="2"/>
        <v/>
      </c>
      <c r="M200" s="101" t="str">
        <f t="shared" si="3"/>
        <v/>
      </c>
    </row>
    <row r="201" ht="15.0" customHeight="1">
      <c r="A201" s="83" t="str">
        <f t="shared" si="1"/>
        <v/>
      </c>
      <c r="B201" s="99"/>
      <c r="C201" s="85" t="str">
        <f>IFERROR(VLOOKUP(B201,'Loan Master'!A5:S52,2,FALSE()),"")</f>
        <v/>
      </c>
      <c r="D201" s="99"/>
      <c r="E201" s="87"/>
      <c r="F201" s="88" t="str">
        <f>IFERROR(VLOOKUP(B201,'Loan Master'!A5:S52,15,FALSE()),"")</f>
        <v/>
      </c>
      <c r="G201" s="89" t="str">
        <f>IFERROR(IF(VLOOKUP(B201,'Loan Master'!A5:S52,5,FALSE())="Direct",0,VLOOKUP(B201,'Loan Master'!A5:S52,16,FALSE())),"")</f>
        <v/>
      </c>
      <c r="H201" s="87" t="str">
        <f>IFERROR(VLOOKUP(B201,'Loan Master'!A5:S52,17,FALSE()),"")</f>
        <v/>
      </c>
      <c r="I201" s="99"/>
      <c r="J201" s="102"/>
      <c r="K201" s="100"/>
      <c r="L201" s="92" t="str">
        <f t="shared" si="2"/>
        <v/>
      </c>
      <c r="M201" s="101" t="str">
        <f t="shared" si="3"/>
        <v/>
      </c>
    </row>
    <row r="202" ht="15.0" customHeight="1">
      <c r="A202" s="36" t="str">
        <f t="shared" si="1"/>
        <v/>
      </c>
      <c r="B202" s="37"/>
      <c r="C202" s="75" t="str">
        <f>IFERROR(VLOOKUP(B202,'Loan Master'!A5:S52,2,FALSE()),"")</f>
        <v/>
      </c>
      <c r="D202" s="37"/>
      <c r="E202" s="61"/>
      <c r="F202" s="77" t="str">
        <f>IFERROR(VLOOKUP(B202,'Loan Master'!A5:S52,15,FALSE()),"")</f>
        <v/>
      </c>
      <c r="G202" s="39" t="str">
        <f>IFERROR(IF(VLOOKUP(B202,'Loan Master'!A5:S52,5,FALSE())="Direct",0,VLOOKUP(B202,'Loan Master'!A5:S52,16,FALSE())),"")</f>
        <v/>
      </c>
      <c r="H202" s="61" t="str">
        <f>IFERROR(VLOOKUP(B202,'Loan Master'!A5:S52,17,FALSE()),"")</f>
        <v/>
      </c>
      <c r="I202" s="37"/>
      <c r="J202" s="42"/>
      <c r="K202" s="44"/>
      <c r="L202" s="81" t="str">
        <f t="shared" si="2"/>
        <v/>
      </c>
      <c r="M202" s="101" t="str">
        <f t="shared" si="3"/>
        <v/>
      </c>
    </row>
    <row r="203" ht="15.0" customHeight="1">
      <c r="A203" s="83" t="str">
        <f t="shared" si="1"/>
        <v/>
      </c>
      <c r="B203" s="99"/>
      <c r="C203" s="85" t="str">
        <f>IFERROR(VLOOKUP(B203,'Loan Master'!A5:S52,2,FALSE()),"")</f>
        <v/>
      </c>
      <c r="D203" s="99"/>
      <c r="E203" s="87"/>
      <c r="F203" s="88" t="str">
        <f>IFERROR(VLOOKUP(B203,'Loan Master'!A5:S52,15,FALSE()),"")</f>
        <v/>
      </c>
      <c r="G203" s="89" t="str">
        <f>IFERROR(IF(VLOOKUP(B203,'Loan Master'!A5:S52,5,FALSE())="Direct",0,VLOOKUP(B203,'Loan Master'!A5:S52,16,FALSE())),"")</f>
        <v/>
      </c>
      <c r="H203" s="87" t="str">
        <f>IFERROR(VLOOKUP(B203,'Loan Master'!A5:S52,17,FALSE()),"")</f>
        <v/>
      </c>
      <c r="I203" s="99"/>
      <c r="J203" s="102"/>
      <c r="K203" s="100"/>
      <c r="L203" s="92" t="str">
        <f t="shared" si="2"/>
        <v/>
      </c>
      <c r="M203" s="101" t="str">
        <f t="shared" si="3"/>
        <v/>
      </c>
    </row>
    <row r="204" ht="15.0" customHeight="1">
      <c r="A204" s="36" t="str">
        <f t="shared" si="1"/>
        <v/>
      </c>
      <c r="B204" s="37"/>
      <c r="C204" s="75" t="str">
        <f>IFERROR(VLOOKUP(B204,'Loan Master'!A5:S52,2,FALSE()),"")</f>
        <v/>
      </c>
      <c r="D204" s="37"/>
      <c r="E204" s="61"/>
      <c r="F204" s="77" t="str">
        <f>IFERROR(VLOOKUP(B204,'Loan Master'!A5:S52,15,FALSE()),"")</f>
        <v/>
      </c>
      <c r="G204" s="39" t="str">
        <f>IFERROR(IF(VLOOKUP(B204,'Loan Master'!A5:S52,5,FALSE())="Direct",0,VLOOKUP(B204,'Loan Master'!A5:S52,16,FALSE())),"")</f>
        <v/>
      </c>
      <c r="H204" s="61" t="str">
        <f>IFERROR(VLOOKUP(B204,'Loan Master'!A5:S52,17,FALSE()),"")</f>
        <v/>
      </c>
      <c r="I204" s="37"/>
      <c r="J204" s="42"/>
      <c r="K204" s="44"/>
      <c r="L204" s="81" t="str">
        <f t="shared" si="2"/>
        <v/>
      </c>
      <c r="M204" s="101" t="str">
        <f t="shared" si="3"/>
        <v/>
      </c>
    </row>
    <row r="205" ht="15.0" customHeight="1">
      <c r="A205" s="83" t="str">
        <f t="shared" si="1"/>
        <v/>
      </c>
      <c r="B205" s="99"/>
      <c r="C205" s="85" t="str">
        <f>IFERROR(VLOOKUP(B205,'Loan Master'!A5:S52,2,FALSE()),"")</f>
        <v/>
      </c>
      <c r="D205" s="99"/>
      <c r="E205" s="87"/>
      <c r="F205" s="88" t="str">
        <f>IFERROR(VLOOKUP(B205,'Loan Master'!A5:S52,15,FALSE()),"")</f>
        <v/>
      </c>
      <c r="G205" s="89" t="str">
        <f>IFERROR(IF(VLOOKUP(B205,'Loan Master'!A5:S52,5,FALSE())="Direct",0,VLOOKUP(B205,'Loan Master'!A5:S52,16,FALSE())),"")</f>
        <v/>
      </c>
      <c r="H205" s="87" t="str">
        <f>IFERROR(VLOOKUP(B205,'Loan Master'!A5:S52,17,FALSE()),"")</f>
        <v/>
      </c>
      <c r="I205" s="99"/>
      <c r="J205" s="102"/>
      <c r="K205" s="100"/>
      <c r="L205" s="92" t="str">
        <f t="shared" si="2"/>
        <v/>
      </c>
      <c r="M205" s="101" t="str">
        <f t="shared" si="3"/>
        <v/>
      </c>
    </row>
    <row r="206" ht="15.0" customHeight="1">
      <c r="A206" s="36" t="str">
        <f t="shared" si="1"/>
        <v/>
      </c>
      <c r="B206" s="37"/>
      <c r="C206" s="75" t="str">
        <f>IFERROR(VLOOKUP(B206,'Loan Master'!A5:S52,2,FALSE()),"")</f>
        <v/>
      </c>
      <c r="D206" s="37"/>
      <c r="E206" s="61"/>
      <c r="F206" s="77" t="str">
        <f>IFERROR(VLOOKUP(B206,'Loan Master'!A5:S52,15,FALSE()),"")</f>
        <v/>
      </c>
      <c r="G206" s="39" t="str">
        <f>IFERROR(IF(VLOOKUP(B206,'Loan Master'!A5:S52,5,FALSE())="Direct",0,VLOOKUP(B206,'Loan Master'!A5:S52,16,FALSE())),"")</f>
        <v/>
      </c>
      <c r="H206" s="61" t="str">
        <f>IFERROR(VLOOKUP(B206,'Loan Master'!A5:S52,17,FALSE()),"")</f>
        <v/>
      </c>
      <c r="I206" s="37"/>
      <c r="J206" s="42"/>
      <c r="K206" s="44"/>
      <c r="L206" s="81" t="str">
        <f t="shared" si="2"/>
        <v/>
      </c>
      <c r="M206" s="101" t="str">
        <f t="shared" si="3"/>
        <v/>
      </c>
    </row>
    <row r="207" ht="15.0" customHeight="1">
      <c r="A207" s="83" t="str">
        <f t="shared" si="1"/>
        <v/>
      </c>
      <c r="B207" s="99"/>
      <c r="C207" s="85" t="str">
        <f>IFERROR(VLOOKUP(B207,'Loan Master'!A5:S52,2,FALSE()),"")</f>
        <v/>
      </c>
      <c r="D207" s="99"/>
      <c r="E207" s="87"/>
      <c r="F207" s="88" t="str">
        <f>IFERROR(VLOOKUP(B207,'Loan Master'!A5:S52,15,FALSE()),"")</f>
        <v/>
      </c>
      <c r="G207" s="89" t="str">
        <f>IFERROR(IF(VLOOKUP(B207,'Loan Master'!A5:S52,5,FALSE())="Direct",0,VLOOKUP(B207,'Loan Master'!A5:S52,16,FALSE())),"")</f>
        <v/>
      </c>
      <c r="H207" s="87" t="str">
        <f>IFERROR(VLOOKUP(B207,'Loan Master'!A5:S52,17,FALSE()),"")</f>
        <v/>
      </c>
      <c r="I207" s="99"/>
      <c r="J207" s="102"/>
      <c r="K207" s="100"/>
      <c r="L207" s="92" t="str">
        <f t="shared" si="2"/>
        <v/>
      </c>
      <c r="M207" s="101" t="str">
        <f t="shared" si="3"/>
        <v/>
      </c>
    </row>
    <row r="208" ht="15.0" customHeight="1">
      <c r="A208" s="36" t="str">
        <f t="shared" si="1"/>
        <v/>
      </c>
      <c r="B208" s="37"/>
      <c r="C208" s="75" t="str">
        <f>IFERROR(VLOOKUP(B208,'Loan Master'!A5:S52,2,FALSE()),"")</f>
        <v/>
      </c>
      <c r="D208" s="37"/>
      <c r="E208" s="61"/>
      <c r="F208" s="77" t="str">
        <f>IFERROR(VLOOKUP(B208,'Loan Master'!A5:S52,17,FALSE()),"")</f>
        <v/>
      </c>
      <c r="G208" s="39"/>
      <c r="H208" s="61"/>
      <c r="I208" s="37"/>
      <c r="J208" s="42" t="str">
        <f t="shared" ref="J208:J501" si="12">IF(OR(E208="",B208=""),"",IF(OR(I208="Received",I208="Waived",I208=""),"",IF(AND(H208&lt;&gt;"",ISNUMBER(H208)),MAX(0,INT(H208-E208)),IF(AND(ISNUMBER(E208),TODAY()&gt;E208),INT(TODAY()-E208),0))))</f>
        <v/>
      </c>
      <c r="K208" s="44" t="str">
        <f t="shared" ref="K208:K501" si="13">IF(OR(F208="",B208=""),"",IF(OR(I208="Received",I208="Waived"),0,IF(AND(G208&lt;&gt;"",ISNUMBER(G208)),MAX(0,F208-G208),F208)))</f>
        <v/>
      </c>
      <c r="L208" s="81"/>
    </row>
    <row r="209" ht="15.0" customHeight="1">
      <c r="A209" s="83" t="str">
        <f t="shared" si="1"/>
        <v/>
      </c>
      <c r="B209" s="99"/>
      <c r="C209" s="85" t="str">
        <f>IFERROR(VLOOKUP(B209,'Loan Master'!A5:S52,2,FALSE()),"")</f>
        <v/>
      </c>
      <c r="D209" s="99"/>
      <c r="E209" s="87"/>
      <c r="F209" s="88" t="str">
        <f>IFERROR(VLOOKUP(B209,'Loan Master'!A5:S52,17,FALSE()),"")</f>
        <v/>
      </c>
      <c r="G209" s="89"/>
      <c r="H209" s="87"/>
      <c r="I209" s="99"/>
      <c r="J209" s="102" t="str">
        <f t="shared" si="12"/>
        <v/>
      </c>
      <c r="K209" s="100" t="str">
        <f t="shared" si="13"/>
        <v/>
      </c>
      <c r="L209" s="92"/>
    </row>
    <row r="210" ht="15.0" customHeight="1">
      <c r="A210" s="36" t="str">
        <f t="shared" si="1"/>
        <v/>
      </c>
      <c r="B210" s="37"/>
      <c r="C210" s="75" t="str">
        <f>IFERROR(VLOOKUP(B210,'Loan Master'!A5:S52,2,FALSE()),"")</f>
        <v/>
      </c>
      <c r="D210" s="37"/>
      <c r="E210" s="61"/>
      <c r="F210" s="77" t="str">
        <f>IFERROR(VLOOKUP(B210,'Loan Master'!A5:S52,17,FALSE()),"")</f>
        <v/>
      </c>
      <c r="G210" s="39"/>
      <c r="H210" s="61"/>
      <c r="I210" s="37"/>
      <c r="J210" s="42" t="str">
        <f t="shared" si="12"/>
        <v/>
      </c>
      <c r="K210" s="44" t="str">
        <f t="shared" si="13"/>
        <v/>
      </c>
      <c r="L210" s="81"/>
    </row>
    <row r="211" ht="15.0" customHeight="1">
      <c r="A211" s="83" t="str">
        <f t="shared" si="1"/>
        <v/>
      </c>
      <c r="B211" s="99"/>
      <c r="C211" s="85" t="str">
        <f>IFERROR(VLOOKUP(B211,'Loan Master'!A5:S52,2,FALSE()),"")</f>
        <v/>
      </c>
      <c r="D211" s="99"/>
      <c r="E211" s="87"/>
      <c r="F211" s="88" t="str">
        <f>IFERROR(VLOOKUP(B211,'Loan Master'!A5:S52,17,FALSE()),"")</f>
        <v/>
      </c>
      <c r="G211" s="89"/>
      <c r="H211" s="87"/>
      <c r="I211" s="99"/>
      <c r="J211" s="102" t="str">
        <f t="shared" si="12"/>
        <v/>
      </c>
      <c r="K211" s="100" t="str">
        <f t="shared" si="13"/>
        <v/>
      </c>
      <c r="L211" s="92"/>
    </row>
    <row r="212" ht="15.0" customHeight="1">
      <c r="A212" s="36" t="str">
        <f t="shared" si="1"/>
        <v/>
      </c>
      <c r="B212" s="37"/>
      <c r="C212" s="75" t="str">
        <f>IFERROR(VLOOKUP(B212,'Loan Master'!A5:S52,2,FALSE()),"")</f>
        <v/>
      </c>
      <c r="D212" s="37"/>
      <c r="E212" s="61"/>
      <c r="F212" s="77" t="str">
        <f>IFERROR(VLOOKUP(B212,'Loan Master'!A5:S52,17,FALSE()),"")</f>
        <v/>
      </c>
      <c r="G212" s="39"/>
      <c r="H212" s="61"/>
      <c r="I212" s="37"/>
      <c r="J212" s="42" t="str">
        <f t="shared" si="12"/>
        <v/>
      </c>
      <c r="K212" s="44" t="str">
        <f t="shared" si="13"/>
        <v/>
      </c>
      <c r="L212" s="81"/>
    </row>
    <row r="213" ht="15.0" customHeight="1">
      <c r="A213" s="83" t="str">
        <f t="shared" si="1"/>
        <v/>
      </c>
      <c r="B213" s="99"/>
      <c r="C213" s="85" t="str">
        <f>IFERROR(VLOOKUP(B213,'Loan Master'!A5:S52,2,FALSE()),"")</f>
        <v/>
      </c>
      <c r="D213" s="99"/>
      <c r="E213" s="87"/>
      <c r="F213" s="88" t="str">
        <f>IFERROR(VLOOKUP(B213,'Loan Master'!A5:S52,17,FALSE()),"")</f>
        <v/>
      </c>
      <c r="G213" s="89"/>
      <c r="H213" s="87"/>
      <c r="I213" s="99"/>
      <c r="J213" s="102" t="str">
        <f t="shared" si="12"/>
        <v/>
      </c>
      <c r="K213" s="100" t="str">
        <f t="shared" si="13"/>
        <v/>
      </c>
      <c r="L213" s="92"/>
    </row>
    <row r="214" ht="15.0" customHeight="1">
      <c r="A214" s="36" t="str">
        <f t="shared" si="1"/>
        <v/>
      </c>
      <c r="B214" s="37"/>
      <c r="C214" s="75" t="str">
        <f>IFERROR(VLOOKUP(B214,'Loan Master'!A5:S52,2,FALSE()),"")</f>
        <v/>
      </c>
      <c r="D214" s="37"/>
      <c r="E214" s="61"/>
      <c r="F214" s="77" t="str">
        <f>IFERROR(VLOOKUP(B214,'Loan Master'!A5:S52,17,FALSE()),"")</f>
        <v/>
      </c>
      <c r="G214" s="39"/>
      <c r="H214" s="61"/>
      <c r="I214" s="37"/>
      <c r="J214" s="42" t="str">
        <f t="shared" si="12"/>
        <v/>
      </c>
      <c r="K214" s="44" t="str">
        <f t="shared" si="13"/>
        <v/>
      </c>
      <c r="L214" s="81"/>
    </row>
    <row r="215" ht="15.0" customHeight="1">
      <c r="A215" s="83" t="str">
        <f t="shared" si="1"/>
        <v/>
      </c>
      <c r="B215" s="99"/>
      <c r="C215" s="85" t="str">
        <f>IFERROR(VLOOKUP(B215,'Loan Master'!A5:S52,2,FALSE()),"")</f>
        <v/>
      </c>
      <c r="D215" s="99"/>
      <c r="E215" s="87"/>
      <c r="F215" s="88" t="str">
        <f>IFERROR(VLOOKUP(B215,'Loan Master'!A5:S52,17,FALSE()),"")</f>
        <v/>
      </c>
      <c r="G215" s="89"/>
      <c r="H215" s="87"/>
      <c r="I215" s="99"/>
      <c r="J215" s="102" t="str">
        <f t="shared" si="12"/>
        <v/>
      </c>
      <c r="K215" s="100" t="str">
        <f t="shared" si="13"/>
        <v/>
      </c>
      <c r="L215" s="92"/>
    </row>
    <row r="216" ht="15.0" customHeight="1">
      <c r="A216" s="36" t="str">
        <f t="shared" si="1"/>
        <v/>
      </c>
      <c r="B216" s="37"/>
      <c r="C216" s="75" t="str">
        <f>IFERROR(VLOOKUP(B216,'Loan Master'!A5:S52,2,FALSE()),"")</f>
        <v/>
      </c>
      <c r="D216" s="37"/>
      <c r="E216" s="61"/>
      <c r="F216" s="77" t="str">
        <f>IFERROR(VLOOKUP(B216,'Loan Master'!A5:S52,17,FALSE()),"")</f>
        <v/>
      </c>
      <c r="G216" s="39"/>
      <c r="H216" s="61"/>
      <c r="I216" s="37"/>
      <c r="J216" s="42" t="str">
        <f t="shared" si="12"/>
        <v/>
      </c>
      <c r="K216" s="44" t="str">
        <f t="shared" si="13"/>
        <v/>
      </c>
      <c r="L216" s="81"/>
    </row>
    <row r="217" ht="15.0" customHeight="1">
      <c r="A217" s="83" t="str">
        <f t="shared" si="1"/>
        <v/>
      </c>
      <c r="B217" s="99"/>
      <c r="C217" s="85" t="str">
        <f>IFERROR(VLOOKUP(B217,'Loan Master'!A5:S52,2,FALSE()),"")</f>
        <v/>
      </c>
      <c r="D217" s="99"/>
      <c r="E217" s="87"/>
      <c r="F217" s="88" t="str">
        <f>IFERROR(VLOOKUP(B217,'Loan Master'!A5:S52,17,FALSE()),"")</f>
        <v/>
      </c>
      <c r="G217" s="89"/>
      <c r="H217" s="87"/>
      <c r="I217" s="99"/>
      <c r="J217" s="102" t="str">
        <f t="shared" si="12"/>
        <v/>
      </c>
      <c r="K217" s="100" t="str">
        <f t="shared" si="13"/>
        <v/>
      </c>
      <c r="L217" s="92"/>
    </row>
    <row r="218" ht="15.0" customHeight="1">
      <c r="A218" s="36" t="str">
        <f t="shared" si="1"/>
        <v/>
      </c>
      <c r="B218" s="37"/>
      <c r="C218" s="75" t="str">
        <f>IFERROR(VLOOKUP(B218,'Loan Master'!A5:S52,2,FALSE()),"")</f>
        <v/>
      </c>
      <c r="D218" s="37"/>
      <c r="E218" s="61"/>
      <c r="F218" s="77" t="str">
        <f>IFERROR(VLOOKUP(B218,'Loan Master'!A5:S52,17,FALSE()),"")</f>
        <v/>
      </c>
      <c r="G218" s="39"/>
      <c r="H218" s="61"/>
      <c r="I218" s="37"/>
      <c r="J218" s="42" t="str">
        <f t="shared" si="12"/>
        <v/>
      </c>
      <c r="K218" s="44" t="str">
        <f t="shared" si="13"/>
        <v/>
      </c>
      <c r="L218" s="81"/>
    </row>
    <row r="219" ht="15.0" customHeight="1">
      <c r="A219" s="83" t="str">
        <f t="shared" si="1"/>
        <v/>
      </c>
      <c r="B219" s="99"/>
      <c r="C219" s="85" t="str">
        <f>IFERROR(VLOOKUP(B219,'Loan Master'!A5:S52,2,FALSE()),"")</f>
        <v/>
      </c>
      <c r="D219" s="99"/>
      <c r="E219" s="87"/>
      <c r="F219" s="88" t="str">
        <f>IFERROR(VLOOKUP(B219,'Loan Master'!A5:S52,17,FALSE()),"")</f>
        <v/>
      </c>
      <c r="G219" s="89"/>
      <c r="H219" s="87"/>
      <c r="I219" s="99"/>
      <c r="J219" s="102" t="str">
        <f t="shared" si="12"/>
        <v/>
      </c>
      <c r="K219" s="100" t="str">
        <f t="shared" si="13"/>
        <v/>
      </c>
      <c r="L219" s="92"/>
    </row>
    <row r="220" ht="15.0" customHeight="1">
      <c r="A220" s="36" t="str">
        <f t="shared" si="1"/>
        <v/>
      </c>
      <c r="B220" s="37"/>
      <c r="C220" s="75" t="str">
        <f>IFERROR(VLOOKUP(B220,'Loan Master'!A5:S52,2,FALSE()),"")</f>
        <v/>
      </c>
      <c r="D220" s="37"/>
      <c r="E220" s="61"/>
      <c r="F220" s="77" t="str">
        <f>IFERROR(VLOOKUP(B220,'Loan Master'!A5:S52,17,FALSE()),"")</f>
        <v/>
      </c>
      <c r="G220" s="39"/>
      <c r="H220" s="61"/>
      <c r="I220" s="37"/>
      <c r="J220" s="42" t="str">
        <f t="shared" si="12"/>
        <v/>
      </c>
      <c r="K220" s="44" t="str">
        <f t="shared" si="13"/>
        <v/>
      </c>
      <c r="L220" s="81"/>
    </row>
    <row r="221" ht="15.0" customHeight="1">
      <c r="A221" s="83" t="str">
        <f t="shared" si="1"/>
        <v/>
      </c>
      <c r="B221" s="99"/>
      <c r="C221" s="85" t="str">
        <f>IFERROR(VLOOKUP(B221,'Loan Master'!A5:S52,2,FALSE()),"")</f>
        <v/>
      </c>
      <c r="D221" s="99"/>
      <c r="E221" s="87"/>
      <c r="F221" s="88" t="str">
        <f>IFERROR(VLOOKUP(B221,'Loan Master'!A5:S52,17,FALSE()),"")</f>
        <v/>
      </c>
      <c r="G221" s="89"/>
      <c r="H221" s="87"/>
      <c r="I221" s="99"/>
      <c r="J221" s="102" t="str">
        <f t="shared" si="12"/>
        <v/>
      </c>
      <c r="K221" s="100" t="str">
        <f t="shared" si="13"/>
        <v/>
      </c>
      <c r="L221" s="92"/>
    </row>
    <row r="222" ht="15.0" customHeight="1">
      <c r="A222" s="36" t="str">
        <f t="shared" si="1"/>
        <v/>
      </c>
      <c r="B222" s="37"/>
      <c r="C222" s="75" t="str">
        <f>IFERROR(VLOOKUP(B222,'Loan Master'!A5:S52,2,FALSE()),"")</f>
        <v/>
      </c>
      <c r="D222" s="37"/>
      <c r="E222" s="61"/>
      <c r="F222" s="77" t="str">
        <f>IFERROR(VLOOKUP(B222,'Loan Master'!A5:S52,17,FALSE()),"")</f>
        <v/>
      </c>
      <c r="G222" s="39"/>
      <c r="H222" s="61"/>
      <c r="I222" s="37"/>
      <c r="J222" s="42" t="str">
        <f t="shared" si="12"/>
        <v/>
      </c>
      <c r="K222" s="44" t="str">
        <f t="shared" si="13"/>
        <v/>
      </c>
      <c r="L222" s="81"/>
    </row>
    <row r="223" ht="15.0" customHeight="1">
      <c r="A223" s="83" t="str">
        <f t="shared" si="1"/>
        <v/>
      </c>
      <c r="B223" s="99"/>
      <c r="C223" s="85" t="str">
        <f>IFERROR(VLOOKUP(B223,'Loan Master'!A5:S52,2,FALSE()),"")</f>
        <v/>
      </c>
      <c r="D223" s="99"/>
      <c r="E223" s="87"/>
      <c r="F223" s="88" t="str">
        <f>IFERROR(VLOOKUP(B223,'Loan Master'!A5:S52,17,FALSE()),"")</f>
        <v/>
      </c>
      <c r="G223" s="89"/>
      <c r="H223" s="87"/>
      <c r="I223" s="99"/>
      <c r="J223" s="102" t="str">
        <f t="shared" si="12"/>
        <v/>
      </c>
      <c r="K223" s="100" t="str">
        <f t="shared" si="13"/>
        <v/>
      </c>
      <c r="L223" s="92"/>
    </row>
    <row r="224" ht="15.0" customHeight="1">
      <c r="A224" s="36" t="str">
        <f t="shared" si="1"/>
        <v/>
      </c>
      <c r="B224" s="37"/>
      <c r="C224" s="75" t="str">
        <f>IFERROR(VLOOKUP(B224,'Loan Master'!A5:S52,2,FALSE()),"")</f>
        <v/>
      </c>
      <c r="D224" s="37"/>
      <c r="E224" s="61"/>
      <c r="F224" s="77" t="str">
        <f>IFERROR(VLOOKUP(B224,'Loan Master'!A5:S52,17,FALSE()),"")</f>
        <v/>
      </c>
      <c r="G224" s="39"/>
      <c r="H224" s="61"/>
      <c r="I224" s="37"/>
      <c r="J224" s="42" t="str">
        <f t="shared" si="12"/>
        <v/>
      </c>
      <c r="K224" s="44" t="str">
        <f t="shared" si="13"/>
        <v/>
      </c>
      <c r="L224" s="81"/>
    </row>
    <row r="225" ht="15.0" customHeight="1">
      <c r="A225" s="83" t="str">
        <f t="shared" si="1"/>
        <v/>
      </c>
      <c r="B225" s="99"/>
      <c r="C225" s="85" t="str">
        <f>IFERROR(VLOOKUP(B225,'Loan Master'!A5:S52,2,FALSE()),"")</f>
        <v/>
      </c>
      <c r="D225" s="99"/>
      <c r="E225" s="87"/>
      <c r="F225" s="88" t="str">
        <f>IFERROR(VLOOKUP(B225,'Loan Master'!A5:S52,17,FALSE()),"")</f>
        <v/>
      </c>
      <c r="G225" s="89"/>
      <c r="H225" s="87"/>
      <c r="I225" s="99"/>
      <c r="J225" s="102" t="str">
        <f t="shared" si="12"/>
        <v/>
      </c>
      <c r="K225" s="100" t="str">
        <f t="shared" si="13"/>
        <v/>
      </c>
      <c r="L225" s="92"/>
    </row>
    <row r="226" ht="15.0" customHeight="1">
      <c r="A226" s="36" t="str">
        <f t="shared" si="1"/>
        <v/>
      </c>
      <c r="B226" s="37"/>
      <c r="C226" s="75" t="str">
        <f>IFERROR(VLOOKUP(B226,'Loan Master'!A5:S52,2,FALSE()),"")</f>
        <v/>
      </c>
      <c r="D226" s="37"/>
      <c r="E226" s="61"/>
      <c r="F226" s="77" t="str">
        <f>IFERROR(VLOOKUP(B226,'Loan Master'!A5:S52,17,FALSE()),"")</f>
        <v/>
      </c>
      <c r="G226" s="39"/>
      <c r="H226" s="61"/>
      <c r="I226" s="37"/>
      <c r="J226" s="42" t="str">
        <f t="shared" si="12"/>
        <v/>
      </c>
      <c r="K226" s="44" t="str">
        <f t="shared" si="13"/>
        <v/>
      </c>
      <c r="L226" s="81"/>
    </row>
    <row r="227" ht="15.0" customHeight="1">
      <c r="A227" s="83" t="str">
        <f t="shared" si="1"/>
        <v/>
      </c>
      <c r="B227" s="99"/>
      <c r="C227" s="85" t="str">
        <f>IFERROR(VLOOKUP(B227,'Loan Master'!A5:S52,2,FALSE()),"")</f>
        <v/>
      </c>
      <c r="D227" s="99"/>
      <c r="E227" s="87"/>
      <c r="F227" s="88" t="str">
        <f>IFERROR(VLOOKUP(B227,'Loan Master'!A5:S52,17,FALSE()),"")</f>
        <v/>
      </c>
      <c r="G227" s="89"/>
      <c r="H227" s="87"/>
      <c r="I227" s="99"/>
      <c r="J227" s="102" t="str">
        <f t="shared" si="12"/>
        <v/>
      </c>
      <c r="K227" s="100" t="str">
        <f t="shared" si="13"/>
        <v/>
      </c>
      <c r="L227" s="92"/>
    </row>
    <row r="228" ht="15.0" customHeight="1">
      <c r="A228" s="36" t="str">
        <f t="shared" si="1"/>
        <v/>
      </c>
      <c r="B228" s="37"/>
      <c r="C228" s="75" t="str">
        <f>IFERROR(VLOOKUP(B228,'Loan Master'!A5:S52,2,FALSE()),"")</f>
        <v/>
      </c>
      <c r="D228" s="37"/>
      <c r="E228" s="61"/>
      <c r="F228" s="77" t="str">
        <f>IFERROR(VLOOKUP(B228,'Loan Master'!A5:S52,17,FALSE()),"")</f>
        <v/>
      </c>
      <c r="G228" s="39"/>
      <c r="H228" s="61"/>
      <c r="I228" s="37"/>
      <c r="J228" s="42" t="str">
        <f t="shared" si="12"/>
        <v/>
      </c>
      <c r="K228" s="44" t="str">
        <f t="shared" si="13"/>
        <v/>
      </c>
      <c r="L228" s="81"/>
    </row>
    <row r="229" ht="15.0" customHeight="1">
      <c r="A229" s="83" t="str">
        <f t="shared" si="1"/>
        <v/>
      </c>
      <c r="B229" s="99"/>
      <c r="C229" s="85" t="str">
        <f>IFERROR(VLOOKUP(B229,'Loan Master'!A5:S52,2,FALSE()),"")</f>
        <v/>
      </c>
      <c r="D229" s="99"/>
      <c r="E229" s="87"/>
      <c r="F229" s="88" t="str">
        <f>IFERROR(VLOOKUP(B229,'Loan Master'!A5:S52,17,FALSE()),"")</f>
        <v/>
      </c>
      <c r="G229" s="89"/>
      <c r="H229" s="87"/>
      <c r="I229" s="99"/>
      <c r="J229" s="102" t="str">
        <f t="shared" si="12"/>
        <v/>
      </c>
      <c r="K229" s="100" t="str">
        <f t="shared" si="13"/>
        <v/>
      </c>
      <c r="L229" s="92"/>
    </row>
    <row r="230" ht="15.0" customHeight="1">
      <c r="A230" s="36" t="str">
        <f t="shared" si="1"/>
        <v/>
      </c>
      <c r="B230" s="37"/>
      <c r="C230" s="75" t="str">
        <f>IFERROR(VLOOKUP(B230,'Loan Master'!A5:S52,2,FALSE()),"")</f>
        <v/>
      </c>
      <c r="D230" s="37"/>
      <c r="E230" s="61"/>
      <c r="F230" s="77" t="str">
        <f>IFERROR(VLOOKUP(B230,'Loan Master'!A5:S52,17,FALSE()),"")</f>
        <v/>
      </c>
      <c r="G230" s="39"/>
      <c r="H230" s="61"/>
      <c r="I230" s="37"/>
      <c r="J230" s="42" t="str">
        <f t="shared" si="12"/>
        <v/>
      </c>
      <c r="K230" s="44" t="str">
        <f t="shared" si="13"/>
        <v/>
      </c>
      <c r="L230" s="81"/>
    </row>
    <row r="231" ht="15.0" customHeight="1">
      <c r="A231" s="83" t="str">
        <f t="shared" si="1"/>
        <v/>
      </c>
      <c r="B231" s="99"/>
      <c r="C231" s="85" t="str">
        <f>IFERROR(VLOOKUP(B231,'Loan Master'!A5:S52,2,FALSE()),"")</f>
        <v/>
      </c>
      <c r="D231" s="99"/>
      <c r="E231" s="87"/>
      <c r="F231" s="88" t="str">
        <f>IFERROR(VLOOKUP(B231,'Loan Master'!A5:S52,17,FALSE()),"")</f>
        <v/>
      </c>
      <c r="G231" s="89"/>
      <c r="H231" s="87"/>
      <c r="I231" s="99"/>
      <c r="J231" s="102" t="str">
        <f t="shared" si="12"/>
        <v/>
      </c>
      <c r="K231" s="100" t="str">
        <f t="shared" si="13"/>
        <v/>
      </c>
      <c r="L231" s="92"/>
    </row>
    <row r="232" ht="15.0" customHeight="1">
      <c r="A232" s="36" t="str">
        <f t="shared" si="1"/>
        <v/>
      </c>
      <c r="B232" s="37"/>
      <c r="C232" s="75" t="str">
        <f>IFERROR(VLOOKUP(B232,'Loan Master'!A5:S52,2,FALSE()),"")</f>
        <v/>
      </c>
      <c r="D232" s="37"/>
      <c r="E232" s="61"/>
      <c r="F232" s="77" t="str">
        <f>IFERROR(VLOOKUP(B232,'Loan Master'!A5:S52,17,FALSE()),"")</f>
        <v/>
      </c>
      <c r="G232" s="39"/>
      <c r="H232" s="61"/>
      <c r="I232" s="37"/>
      <c r="J232" s="42" t="str">
        <f t="shared" si="12"/>
        <v/>
      </c>
      <c r="K232" s="44" t="str">
        <f t="shared" si="13"/>
        <v/>
      </c>
      <c r="L232" s="81"/>
    </row>
    <row r="233" ht="15.0" customHeight="1">
      <c r="A233" s="83" t="str">
        <f t="shared" si="1"/>
        <v/>
      </c>
      <c r="B233" s="99"/>
      <c r="C233" s="85" t="str">
        <f>IFERROR(VLOOKUP(B233,'Loan Master'!A5:S52,2,FALSE()),"")</f>
        <v/>
      </c>
      <c r="D233" s="99"/>
      <c r="E233" s="87"/>
      <c r="F233" s="88" t="str">
        <f>IFERROR(VLOOKUP(B233,'Loan Master'!A5:S52,17,FALSE()),"")</f>
        <v/>
      </c>
      <c r="G233" s="89"/>
      <c r="H233" s="87"/>
      <c r="I233" s="99"/>
      <c r="J233" s="102" t="str">
        <f t="shared" si="12"/>
        <v/>
      </c>
      <c r="K233" s="100" t="str">
        <f t="shared" si="13"/>
        <v/>
      </c>
      <c r="L233" s="92"/>
    </row>
    <row r="234" ht="15.0" customHeight="1">
      <c r="A234" s="36" t="str">
        <f t="shared" si="1"/>
        <v/>
      </c>
      <c r="B234" s="37"/>
      <c r="C234" s="75" t="str">
        <f>IFERROR(VLOOKUP(B234,'Loan Master'!A5:S52,2,FALSE()),"")</f>
        <v/>
      </c>
      <c r="D234" s="37"/>
      <c r="E234" s="61"/>
      <c r="F234" s="77" t="str">
        <f>IFERROR(VLOOKUP(B234,'Loan Master'!A5:S52,17,FALSE()),"")</f>
        <v/>
      </c>
      <c r="G234" s="39"/>
      <c r="H234" s="61"/>
      <c r="I234" s="37"/>
      <c r="J234" s="42" t="str">
        <f t="shared" si="12"/>
        <v/>
      </c>
      <c r="K234" s="44" t="str">
        <f t="shared" si="13"/>
        <v/>
      </c>
      <c r="L234" s="81"/>
    </row>
    <row r="235" ht="15.0" customHeight="1">
      <c r="A235" s="83" t="str">
        <f t="shared" si="1"/>
        <v/>
      </c>
      <c r="B235" s="99"/>
      <c r="C235" s="85" t="str">
        <f>IFERROR(VLOOKUP(B235,'Loan Master'!A5:S52,2,FALSE()),"")</f>
        <v/>
      </c>
      <c r="D235" s="99"/>
      <c r="E235" s="87"/>
      <c r="F235" s="88" t="str">
        <f>IFERROR(VLOOKUP(B235,'Loan Master'!A5:S52,17,FALSE()),"")</f>
        <v/>
      </c>
      <c r="G235" s="89"/>
      <c r="H235" s="87"/>
      <c r="I235" s="99"/>
      <c r="J235" s="102" t="str">
        <f t="shared" si="12"/>
        <v/>
      </c>
      <c r="K235" s="100" t="str">
        <f t="shared" si="13"/>
        <v/>
      </c>
      <c r="L235" s="92"/>
    </row>
    <row r="236" ht="15.0" customHeight="1">
      <c r="A236" s="36" t="str">
        <f t="shared" si="1"/>
        <v/>
      </c>
      <c r="B236" s="37"/>
      <c r="C236" s="75" t="str">
        <f>IFERROR(VLOOKUP(B236,'Loan Master'!A5:S52,2,FALSE()),"")</f>
        <v/>
      </c>
      <c r="D236" s="37"/>
      <c r="E236" s="61"/>
      <c r="F236" s="77" t="str">
        <f>IFERROR(VLOOKUP(B236,'Loan Master'!A5:S52,17,FALSE()),"")</f>
        <v/>
      </c>
      <c r="G236" s="39"/>
      <c r="H236" s="61"/>
      <c r="I236" s="37"/>
      <c r="J236" s="42" t="str">
        <f t="shared" si="12"/>
        <v/>
      </c>
      <c r="K236" s="44" t="str">
        <f t="shared" si="13"/>
        <v/>
      </c>
      <c r="L236" s="81"/>
    </row>
    <row r="237" ht="15.0" customHeight="1">
      <c r="A237" s="83" t="str">
        <f t="shared" si="1"/>
        <v/>
      </c>
      <c r="B237" s="99"/>
      <c r="C237" s="85" t="str">
        <f>IFERROR(VLOOKUP(B237,'Loan Master'!A5:S52,2,FALSE()),"")</f>
        <v/>
      </c>
      <c r="D237" s="99"/>
      <c r="E237" s="87"/>
      <c r="F237" s="88" t="str">
        <f>IFERROR(VLOOKUP(B237,'Loan Master'!A5:S52,17,FALSE()),"")</f>
        <v/>
      </c>
      <c r="G237" s="89"/>
      <c r="H237" s="87"/>
      <c r="I237" s="99"/>
      <c r="J237" s="102" t="str">
        <f t="shared" si="12"/>
        <v/>
      </c>
      <c r="K237" s="100" t="str">
        <f t="shared" si="13"/>
        <v/>
      </c>
      <c r="L237" s="92"/>
    </row>
    <row r="238" ht="15.0" customHeight="1">
      <c r="A238" s="36" t="str">
        <f t="shared" si="1"/>
        <v/>
      </c>
      <c r="B238" s="37"/>
      <c r="C238" s="75" t="str">
        <f>IFERROR(VLOOKUP(B238,'Loan Master'!A5:S52,2,FALSE()),"")</f>
        <v/>
      </c>
      <c r="D238" s="37"/>
      <c r="E238" s="61"/>
      <c r="F238" s="77" t="str">
        <f>IFERROR(VLOOKUP(B238,'Loan Master'!A5:S52,17,FALSE()),"")</f>
        <v/>
      </c>
      <c r="G238" s="39"/>
      <c r="H238" s="61"/>
      <c r="I238" s="37"/>
      <c r="J238" s="42" t="str">
        <f t="shared" si="12"/>
        <v/>
      </c>
      <c r="K238" s="44" t="str">
        <f t="shared" si="13"/>
        <v/>
      </c>
      <c r="L238" s="81"/>
    </row>
    <row r="239" ht="15.0" customHeight="1">
      <c r="A239" s="83" t="str">
        <f t="shared" si="1"/>
        <v/>
      </c>
      <c r="B239" s="99"/>
      <c r="C239" s="85" t="str">
        <f>IFERROR(VLOOKUP(B239,'Loan Master'!A5:S52,2,FALSE()),"")</f>
        <v/>
      </c>
      <c r="D239" s="99"/>
      <c r="E239" s="87"/>
      <c r="F239" s="88" t="str">
        <f>IFERROR(VLOOKUP(B239,'Loan Master'!A5:S52,17,FALSE()),"")</f>
        <v/>
      </c>
      <c r="G239" s="89"/>
      <c r="H239" s="87"/>
      <c r="I239" s="99"/>
      <c r="J239" s="102" t="str">
        <f t="shared" si="12"/>
        <v/>
      </c>
      <c r="K239" s="100" t="str">
        <f t="shared" si="13"/>
        <v/>
      </c>
      <c r="L239" s="92"/>
    </row>
    <row r="240" ht="15.0" customHeight="1">
      <c r="A240" s="36" t="str">
        <f t="shared" si="1"/>
        <v/>
      </c>
      <c r="B240" s="37"/>
      <c r="C240" s="75" t="str">
        <f>IFERROR(VLOOKUP(B240,'Loan Master'!A5:S52,2,FALSE()),"")</f>
        <v/>
      </c>
      <c r="D240" s="37"/>
      <c r="E240" s="61"/>
      <c r="F240" s="77" t="str">
        <f>IFERROR(VLOOKUP(B240,'Loan Master'!A5:S52,17,FALSE()),"")</f>
        <v/>
      </c>
      <c r="G240" s="39"/>
      <c r="H240" s="61"/>
      <c r="I240" s="37"/>
      <c r="J240" s="42" t="str">
        <f t="shared" si="12"/>
        <v/>
      </c>
      <c r="K240" s="44" t="str">
        <f t="shared" si="13"/>
        <v/>
      </c>
      <c r="L240" s="81"/>
    </row>
    <row r="241" ht="15.0" customHeight="1">
      <c r="A241" s="83" t="str">
        <f t="shared" si="1"/>
        <v/>
      </c>
      <c r="B241" s="99"/>
      <c r="C241" s="85" t="str">
        <f>IFERROR(VLOOKUP(B241,'Loan Master'!A5:S52,2,FALSE()),"")</f>
        <v/>
      </c>
      <c r="D241" s="99"/>
      <c r="E241" s="87"/>
      <c r="F241" s="88" t="str">
        <f>IFERROR(VLOOKUP(B241,'Loan Master'!A5:S52,17,FALSE()),"")</f>
        <v/>
      </c>
      <c r="G241" s="89"/>
      <c r="H241" s="87"/>
      <c r="I241" s="99"/>
      <c r="J241" s="102" t="str">
        <f t="shared" si="12"/>
        <v/>
      </c>
      <c r="K241" s="100" t="str">
        <f t="shared" si="13"/>
        <v/>
      </c>
      <c r="L241" s="92"/>
    </row>
    <row r="242" ht="15.0" customHeight="1">
      <c r="A242" s="36" t="str">
        <f t="shared" si="1"/>
        <v/>
      </c>
      <c r="B242" s="37"/>
      <c r="C242" s="75" t="str">
        <f>IFERROR(VLOOKUP(B242,'Loan Master'!A5:S52,2,FALSE()),"")</f>
        <v/>
      </c>
      <c r="D242" s="37"/>
      <c r="E242" s="61"/>
      <c r="F242" s="77" t="str">
        <f>IFERROR(VLOOKUP(B242,'Loan Master'!A5:S52,17,FALSE()),"")</f>
        <v/>
      </c>
      <c r="G242" s="39"/>
      <c r="H242" s="61"/>
      <c r="I242" s="37"/>
      <c r="J242" s="42" t="str">
        <f t="shared" si="12"/>
        <v/>
      </c>
      <c r="K242" s="44" t="str">
        <f t="shared" si="13"/>
        <v/>
      </c>
      <c r="L242" s="81"/>
    </row>
    <row r="243" ht="15.0" customHeight="1">
      <c r="A243" s="83" t="str">
        <f t="shared" si="1"/>
        <v/>
      </c>
      <c r="B243" s="99"/>
      <c r="C243" s="85" t="str">
        <f>IFERROR(VLOOKUP(B243,'Loan Master'!A5:S52,2,FALSE()),"")</f>
        <v/>
      </c>
      <c r="D243" s="99"/>
      <c r="E243" s="87"/>
      <c r="F243" s="88" t="str">
        <f>IFERROR(VLOOKUP(B243,'Loan Master'!A5:S52,17,FALSE()),"")</f>
        <v/>
      </c>
      <c r="G243" s="89"/>
      <c r="H243" s="87"/>
      <c r="I243" s="99"/>
      <c r="J243" s="102" t="str">
        <f t="shared" si="12"/>
        <v/>
      </c>
      <c r="K243" s="100" t="str">
        <f t="shared" si="13"/>
        <v/>
      </c>
      <c r="L243" s="92"/>
    </row>
    <row r="244" ht="15.0" customHeight="1">
      <c r="A244" s="36" t="str">
        <f t="shared" si="1"/>
        <v/>
      </c>
      <c r="B244" s="37"/>
      <c r="C244" s="75" t="str">
        <f>IFERROR(VLOOKUP(B244,'Loan Master'!A5:S52,2,FALSE()),"")</f>
        <v/>
      </c>
      <c r="D244" s="37"/>
      <c r="E244" s="61"/>
      <c r="F244" s="77" t="str">
        <f>IFERROR(VLOOKUP(B244,'Loan Master'!A5:S52,17,FALSE()),"")</f>
        <v/>
      </c>
      <c r="G244" s="39"/>
      <c r="H244" s="61"/>
      <c r="I244" s="37"/>
      <c r="J244" s="42" t="str">
        <f t="shared" si="12"/>
        <v/>
      </c>
      <c r="K244" s="44" t="str">
        <f t="shared" si="13"/>
        <v/>
      </c>
      <c r="L244" s="81"/>
    </row>
    <row r="245" ht="15.0" customHeight="1">
      <c r="A245" s="83" t="str">
        <f t="shared" si="1"/>
        <v/>
      </c>
      <c r="B245" s="99"/>
      <c r="C245" s="85" t="str">
        <f>IFERROR(VLOOKUP(B245,'Loan Master'!A5:S52,2,FALSE()),"")</f>
        <v/>
      </c>
      <c r="D245" s="99"/>
      <c r="E245" s="87"/>
      <c r="F245" s="88" t="str">
        <f>IFERROR(VLOOKUP(B245,'Loan Master'!A5:S52,17,FALSE()),"")</f>
        <v/>
      </c>
      <c r="G245" s="89"/>
      <c r="H245" s="87"/>
      <c r="I245" s="99"/>
      <c r="J245" s="102" t="str">
        <f t="shared" si="12"/>
        <v/>
      </c>
      <c r="K245" s="100" t="str">
        <f t="shared" si="13"/>
        <v/>
      </c>
      <c r="L245" s="92"/>
    </row>
    <row r="246" ht="15.0" customHeight="1">
      <c r="A246" s="36" t="str">
        <f t="shared" si="1"/>
        <v/>
      </c>
      <c r="B246" s="37"/>
      <c r="C246" s="75" t="str">
        <f>IFERROR(VLOOKUP(B246,'Loan Master'!A5:S52,2,FALSE()),"")</f>
        <v/>
      </c>
      <c r="D246" s="37"/>
      <c r="E246" s="61"/>
      <c r="F246" s="77" t="str">
        <f>IFERROR(VLOOKUP(B246,'Loan Master'!A5:S52,17,FALSE()),"")</f>
        <v/>
      </c>
      <c r="G246" s="39"/>
      <c r="H246" s="61"/>
      <c r="I246" s="37"/>
      <c r="J246" s="42" t="str">
        <f t="shared" si="12"/>
        <v/>
      </c>
      <c r="K246" s="44" t="str">
        <f t="shared" si="13"/>
        <v/>
      </c>
      <c r="L246" s="81"/>
    </row>
    <row r="247" ht="15.0" customHeight="1">
      <c r="A247" s="83" t="str">
        <f t="shared" si="1"/>
        <v/>
      </c>
      <c r="B247" s="99"/>
      <c r="C247" s="85" t="str">
        <f>IFERROR(VLOOKUP(B247,'Loan Master'!A5:S52,2,FALSE()),"")</f>
        <v/>
      </c>
      <c r="D247" s="99"/>
      <c r="E247" s="87"/>
      <c r="F247" s="88" t="str">
        <f>IFERROR(VLOOKUP(B247,'Loan Master'!A5:S52,17,FALSE()),"")</f>
        <v/>
      </c>
      <c r="G247" s="89"/>
      <c r="H247" s="87"/>
      <c r="I247" s="99"/>
      <c r="J247" s="102" t="str">
        <f t="shared" si="12"/>
        <v/>
      </c>
      <c r="K247" s="100" t="str">
        <f t="shared" si="13"/>
        <v/>
      </c>
      <c r="L247" s="92"/>
    </row>
    <row r="248" ht="15.0" customHeight="1">
      <c r="A248" s="36" t="str">
        <f t="shared" si="1"/>
        <v/>
      </c>
      <c r="B248" s="37"/>
      <c r="C248" s="75" t="str">
        <f>IFERROR(VLOOKUP(B248,'Loan Master'!A5:S52,2,FALSE()),"")</f>
        <v/>
      </c>
      <c r="D248" s="37"/>
      <c r="E248" s="61"/>
      <c r="F248" s="77" t="str">
        <f>IFERROR(VLOOKUP(B248,'Loan Master'!A5:S52,17,FALSE()),"")</f>
        <v/>
      </c>
      <c r="G248" s="39"/>
      <c r="H248" s="61"/>
      <c r="I248" s="37"/>
      <c r="J248" s="42" t="str">
        <f t="shared" si="12"/>
        <v/>
      </c>
      <c r="K248" s="44" t="str">
        <f t="shared" si="13"/>
        <v/>
      </c>
      <c r="L248" s="81"/>
    </row>
    <row r="249" ht="15.0" customHeight="1">
      <c r="A249" s="83" t="str">
        <f t="shared" si="1"/>
        <v/>
      </c>
      <c r="B249" s="99"/>
      <c r="C249" s="85" t="str">
        <f>IFERROR(VLOOKUP(B249,'Loan Master'!A5:S52,2,FALSE()),"")</f>
        <v/>
      </c>
      <c r="D249" s="99"/>
      <c r="E249" s="87"/>
      <c r="F249" s="88" t="str">
        <f>IFERROR(VLOOKUP(B249,'Loan Master'!A5:S52,17,FALSE()),"")</f>
        <v/>
      </c>
      <c r="G249" s="89"/>
      <c r="H249" s="87"/>
      <c r="I249" s="99"/>
      <c r="J249" s="102" t="str">
        <f t="shared" si="12"/>
        <v/>
      </c>
      <c r="K249" s="100" t="str">
        <f t="shared" si="13"/>
        <v/>
      </c>
      <c r="L249" s="92"/>
    </row>
    <row r="250" ht="15.0" customHeight="1">
      <c r="A250" s="36" t="str">
        <f t="shared" si="1"/>
        <v/>
      </c>
      <c r="B250" s="37"/>
      <c r="C250" s="75" t="str">
        <f>IFERROR(VLOOKUP(B250,'Loan Master'!A5:S52,2,FALSE()),"")</f>
        <v/>
      </c>
      <c r="D250" s="37"/>
      <c r="E250" s="61"/>
      <c r="F250" s="77" t="str">
        <f>IFERROR(VLOOKUP(B250,'Loan Master'!A5:S52,17,FALSE()),"")</f>
        <v/>
      </c>
      <c r="G250" s="39"/>
      <c r="H250" s="61"/>
      <c r="I250" s="37"/>
      <c r="J250" s="42" t="str">
        <f t="shared" si="12"/>
        <v/>
      </c>
      <c r="K250" s="44" t="str">
        <f t="shared" si="13"/>
        <v/>
      </c>
      <c r="L250" s="81"/>
    </row>
    <row r="251" ht="15.0" customHeight="1">
      <c r="A251" s="83" t="str">
        <f t="shared" si="1"/>
        <v/>
      </c>
      <c r="B251" s="99"/>
      <c r="C251" s="85" t="str">
        <f>IFERROR(VLOOKUP(B251,'Loan Master'!A5:S52,2,FALSE()),"")</f>
        <v/>
      </c>
      <c r="D251" s="99"/>
      <c r="E251" s="87"/>
      <c r="F251" s="88" t="str">
        <f>IFERROR(VLOOKUP(B251,'Loan Master'!A5:S52,17,FALSE()),"")</f>
        <v/>
      </c>
      <c r="G251" s="89"/>
      <c r="H251" s="87"/>
      <c r="I251" s="99"/>
      <c r="J251" s="102" t="str">
        <f t="shared" si="12"/>
        <v/>
      </c>
      <c r="K251" s="100" t="str">
        <f t="shared" si="13"/>
        <v/>
      </c>
      <c r="L251" s="92"/>
    </row>
    <row r="252" ht="15.0" customHeight="1">
      <c r="A252" s="36" t="str">
        <f t="shared" si="1"/>
        <v/>
      </c>
      <c r="B252" s="37"/>
      <c r="C252" s="75" t="str">
        <f>IFERROR(VLOOKUP(B252,'Loan Master'!A5:S52,2,FALSE()),"")</f>
        <v/>
      </c>
      <c r="D252" s="37"/>
      <c r="E252" s="61"/>
      <c r="F252" s="77" t="str">
        <f>IFERROR(VLOOKUP(B252,'Loan Master'!A5:S52,17,FALSE()),"")</f>
        <v/>
      </c>
      <c r="G252" s="39"/>
      <c r="H252" s="61"/>
      <c r="I252" s="37"/>
      <c r="J252" s="42" t="str">
        <f t="shared" si="12"/>
        <v/>
      </c>
      <c r="K252" s="44" t="str">
        <f t="shared" si="13"/>
        <v/>
      </c>
      <c r="L252" s="81"/>
    </row>
    <row r="253" ht="15.0" customHeight="1">
      <c r="A253" s="83" t="str">
        <f t="shared" si="1"/>
        <v/>
      </c>
      <c r="B253" s="99"/>
      <c r="C253" s="85" t="str">
        <f>IFERROR(VLOOKUP(B253,'Loan Master'!A5:S52,2,FALSE()),"")</f>
        <v/>
      </c>
      <c r="D253" s="99"/>
      <c r="E253" s="87"/>
      <c r="F253" s="88" t="str">
        <f>IFERROR(VLOOKUP(B253,'Loan Master'!A5:S52,17,FALSE()),"")</f>
        <v/>
      </c>
      <c r="G253" s="89"/>
      <c r="H253" s="87"/>
      <c r="I253" s="99"/>
      <c r="J253" s="102" t="str">
        <f t="shared" si="12"/>
        <v/>
      </c>
      <c r="K253" s="100" t="str">
        <f t="shared" si="13"/>
        <v/>
      </c>
      <c r="L253" s="92"/>
    </row>
    <row r="254" ht="15.0" customHeight="1">
      <c r="A254" s="36" t="str">
        <f t="shared" si="1"/>
        <v/>
      </c>
      <c r="B254" s="37"/>
      <c r="C254" s="75" t="str">
        <f>IFERROR(VLOOKUP(B254,'Loan Master'!A5:S52,2,FALSE()),"")</f>
        <v/>
      </c>
      <c r="D254" s="37"/>
      <c r="E254" s="61"/>
      <c r="F254" s="77" t="str">
        <f>IFERROR(VLOOKUP(B254,'Loan Master'!A5:S52,17,FALSE()),"")</f>
        <v/>
      </c>
      <c r="G254" s="39"/>
      <c r="H254" s="61"/>
      <c r="I254" s="37"/>
      <c r="J254" s="42" t="str">
        <f t="shared" si="12"/>
        <v/>
      </c>
      <c r="K254" s="44" t="str">
        <f t="shared" si="13"/>
        <v/>
      </c>
      <c r="L254" s="81"/>
    </row>
    <row r="255" ht="15.0" customHeight="1">
      <c r="A255" s="83" t="str">
        <f t="shared" si="1"/>
        <v/>
      </c>
      <c r="B255" s="99"/>
      <c r="C255" s="85" t="str">
        <f>IFERROR(VLOOKUP(B255,'Loan Master'!A5:S52,2,FALSE()),"")</f>
        <v/>
      </c>
      <c r="D255" s="99"/>
      <c r="E255" s="87"/>
      <c r="F255" s="88" t="str">
        <f>IFERROR(VLOOKUP(B255,'Loan Master'!A5:S52,17,FALSE()),"")</f>
        <v/>
      </c>
      <c r="G255" s="89"/>
      <c r="H255" s="87"/>
      <c r="I255" s="99"/>
      <c r="J255" s="102" t="str">
        <f t="shared" si="12"/>
        <v/>
      </c>
      <c r="K255" s="100" t="str">
        <f t="shared" si="13"/>
        <v/>
      </c>
      <c r="L255" s="92"/>
    </row>
    <row r="256" ht="15.0" customHeight="1">
      <c r="A256" s="36" t="str">
        <f t="shared" si="1"/>
        <v/>
      </c>
      <c r="B256" s="37"/>
      <c r="C256" s="75" t="str">
        <f>IFERROR(VLOOKUP(B256,'Loan Master'!A5:S52,2,FALSE()),"")</f>
        <v/>
      </c>
      <c r="D256" s="37"/>
      <c r="E256" s="61"/>
      <c r="F256" s="77" t="str">
        <f>IFERROR(VLOOKUP(B256,'Loan Master'!A5:S52,17,FALSE()),"")</f>
        <v/>
      </c>
      <c r="G256" s="39"/>
      <c r="H256" s="61"/>
      <c r="I256" s="37"/>
      <c r="J256" s="42" t="str">
        <f t="shared" si="12"/>
        <v/>
      </c>
      <c r="K256" s="44" t="str">
        <f t="shared" si="13"/>
        <v/>
      </c>
      <c r="L256" s="81"/>
    </row>
    <row r="257" ht="15.0" customHeight="1">
      <c r="A257" s="83" t="str">
        <f t="shared" si="1"/>
        <v/>
      </c>
      <c r="B257" s="99"/>
      <c r="C257" s="85" t="str">
        <f>IFERROR(VLOOKUP(B257,'Loan Master'!A5:S52,2,FALSE()),"")</f>
        <v/>
      </c>
      <c r="D257" s="99"/>
      <c r="E257" s="87"/>
      <c r="F257" s="88" t="str">
        <f>IFERROR(VLOOKUP(B257,'Loan Master'!A5:S52,17,FALSE()),"")</f>
        <v/>
      </c>
      <c r="G257" s="89"/>
      <c r="H257" s="87"/>
      <c r="I257" s="99"/>
      <c r="J257" s="102" t="str">
        <f t="shared" si="12"/>
        <v/>
      </c>
      <c r="K257" s="100" t="str">
        <f t="shared" si="13"/>
        <v/>
      </c>
      <c r="L257" s="92"/>
    </row>
    <row r="258" ht="15.0" customHeight="1">
      <c r="A258" s="36" t="str">
        <f t="shared" si="1"/>
        <v/>
      </c>
      <c r="B258" s="37"/>
      <c r="C258" s="75" t="str">
        <f>IFERROR(VLOOKUP(B258,'Loan Master'!A5:S52,2,FALSE()),"")</f>
        <v/>
      </c>
      <c r="D258" s="37"/>
      <c r="E258" s="61"/>
      <c r="F258" s="77" t="str">
        <f>IFERROR(VLOOKUP(B258,'Loan Master'!A5:S52,17,FALSE()),"")</f>
        <v/>
      </c>
      <c r="G258" s="39"/>
      <c r="H258" s="61"/>
      <c r="I258" s="37"/>
      <c r="J258" s="42" t="str">
        <f t="shared" si="12"/>
        <v/>
      </c>
      <c r="K258" s="44" t="str">
        <f t="shared" si="13"/>
        <v/>
      </c>
      <c r="L258" s="81"/>
    </row>
    <row r="259" ht="15.0" customHeight="1">
      <c r="A259" s="83" t="str">
        <f t="shared" si="1"/>
        <v/>
      </c>
      <c r="B259" s="99"/>
      <c r="C259" s="85" t="str">
        <f>IFERROR(VLOOKUP(B259,'Loan Master'!A5:S52,2,FALSE()),"")</f>
        <v/>
      </c>
      <c r="D259" s="99"/>
      <c r="E259" s="87"/>
      <c r="F259" s="88" t="str">
        <f>IFERROR(VLOOKUP(B259,'Loan Master'!A5:S52,17,FALSE()),"")</f>
        <v/>
      </c>
      <c r="G259" s="89"/>
      <c r="H259" s="87"/>
      <c r="I259" s="99"/>
      <c r="J259" s="102" t="str">
        <f t="shared" si="12"/>
        <v/>
      </c>
      <c r="K259" s="100" t="str">
        <f t="shared" si="13"/>
        <v/>
      </c>
      <c r="L259" s="92"/>
    </row>
    <row r="260" ht="15.0" customHeight="1">
      <c r="A260" s="36" t="str">
        <f t="shared" si="1"/>
        <v/>
      </c>
      <c r="B260" s="37"/>
      <c r="C260" s="75" t="str">
        <f>IFERROR(VLOOKUP(B260,'Loan Master'!A5:S52,2,FALSE()),"")</f>
        <v/>
      </c>
      <c r="D260" s="37"/>
      <c r="E260" s="61"/>
      <c r="F260" s="77" t="str">
        <f>IFERROR(VLOOKUP(B260,'Loan Master'!A5:S52,17,FALSE()),"")</f>
        <v/>
      </c>
      <c r="G260" s="39"/>
      <c r="H260" s="61"/>
      <c r="I260" s="37"/>
      <c r="J260" s="42" t="str">
        <f t="shared" si="12"/>
        <v/>
      </c>
      <c r="K260" s="44" t="str">
        <f t="shared" si="13"/>
        <v/>
      </c>
      <c r="L260" s="81"/>
    </row>
    <row r="261" ht="15.0" customHeight="1">
      <c r="A261" s="83" t="str">
        <f t="shared" si="1"/>
        <v/>
      </c>
      <c r="B261" s="99"/>
      <c r="C261" s="85" t="str">
        <f>IFERROR(VLOOKUP(B261,'Loan Master'!A5:S52,2,FALSE()),"")</f>
        <v/>
      </c>
      <c r="D261" s="99"/>
      <c r="E261" s="87"/>
      <c r="F261" s="88" t="str">
        <f>IFERROR(VLOOKUP(B261,'Loan Master'!A5:S52,17,FALSE()),"")</f>
        <v/>
      </c>
      <c r="G261" s="89"/>
      <c r="H261" s="87"/>
      <c r="I261" s="99"/>
      <c r="J261" s="102" t="str">
        <f t="shared" si="12"/>
        <v/>
      </c>
      <c r="K261" s="100" t="str">
        <f t="shared" si="13"/>
        <v/>
      </c>
      <c r="L261" s="92"/>
    </row>
    <row r="262" ht="15.0" customHeight="1">
      <c r="A262" s="36" t="str">
        <f t="shared" si="1"/>
        <v/>
      </c>
      <c r="B262" s="37"/>
      <c r="C262" s="75" t="str">
        <f>IFERROR(VLOOKUP(B262,'Loan Master'!A5:S52,2,FALSE()),"")</f>
        <v/>
      </c>
      <c r="D262" s="37"/>
      <c r="E262" s="61"/>
      <c r="F262" s="77" t="str">
        <f>IFERROR(VLOOKUP(B262,'Loan Master'!A5:S52,17,FALSE()),"")</f>
        <v/>
      </c>
      <c r="G262" s="39"/>
      <c r="H262" s="61"/>
      <c r="I262" s="37"/>
      <c r="J262" s="42" t="str">
        <f t="shared" si="12"/>
        <v/>
      </c>
      <c r="K262" s="44" t="str">
        <f t="shared" si="13"/>
        <v/>
      </c>
      <c r="L262" s="81"/>
    </row>
    <row r="263" ht="15.0" customHeight="1">
      <c r="A263" s="83" t="str">
        <f t="shared" si="1"/>
        <v/>
      </c>
      <c r="B263" s="99"/>
      <c r="C263" s="85" t="str">
        <f>IFERROR(VLOOKUP(B263,'Loan Master'!A5:S52,2,FALSE()),"")</f>
        <v/>
      </c>
      <c r="D263" s="99"/>
      <c r="E263" s="87"/>
      <c r="F263" s="88" t="str">
        <f>IFERROR(VLOOKUP(B263,'Loan Master'!A5:S52,17,FALSE()),"")</f>
        <v/>
      </c>
      <c r="G263" s="89"/>
      <c r="H263" s="87"/>
      <c r="I263" s="99"/>
      <c r="J263" s="102" t="str">
        <f t="shared" si="12"/>
        <v/>
      </c>
      <c r="K263" s="100" t="str">
        <f t="shared" si="13"/>
        <v/>
      </c>
      <c r="L263" s="92"/>
    </row>
    <row r="264" ht="15.0" customHeight="1">
      <c r="A264" s="36" t="str">
        <f t="shared" si="1"/>
        <v/>
      </c>
      <c r="B264" s="37"/>
      <c r="C264" s="75" t="str">
        <f>IFERROR(VLOOKUP(B264,'Loan Master'!A5:S52,2,FALSE()),"")</f>
        <v/>
      </c>
      <c r="D264" s="37"/>
      <c r="E264" s="61"/>
      <c r="F264" s="77" t="str">
        <f>IFERROR(VLOOKUP(B264,'Loan Master'!A5:S52,17,FALSE()),"")</f>
        <v/>
      </c>
      <c r="G264" s="39"/>
      <c r="H264" s="61"/>
      <c r="I264" s="37"/>
      <c r="J264" s="42" t="str">
        <f t="shared" si="12"/>
        <v/>
      </c>
      <c r="K264" s="44" t="str">
        <f t="shared" si="13"/>
        <v/>
      </c>
      <c r="L264" s="81"/>
    </row>
    <row r="265" ht="15.0" customHeight="1">
      <c r="A265" s="83" t="str">
        <f t="shared" si="1"/>
        <v/>
      </c>
      <c r="B265" s="99"/>
      <c r="C265" s="85" t="str">
        <f>IFERROR(VLOOKUP(B265,'Loan Master'!A5:S52,2,FALSE()),"")</f>
        <v/>
      </c>
      <c r="D265" s="99"/>
      <c r="E265" s="87"/>
      <c r="F265" s="88" t="str">
        <f>IFERROR(VLOOKUP(B265,'Loan Master'!A5:S52,17,FALSE()),"")</f>
        <v/>
      </c>
      <c r="G265" s="89"/>
      <c r="H265" s="87"/>
      <c r="I265" s="99"/>
      <c r="J265" s="102" t="str">
        <f t="shared" si="12"/>
        <v/>
      </c>
      <c r="K265" s="100" t="str">
        <f t="shared" si="13"/>
        <v/>
      </c>
      <c r="L265" s="92"/>
    </row>
    <row r="266" ht="15.0" customHeight="1">
      <c r="A266" s="36" t="str">
        <f t="shared" si="1"/>
        <v/>
      </c>
      <c r="B266" s="37"/>
      <c r="C266" s="75" t="str">
        <f>IFERROR(VLOOKUP(B266,'Loan Master'!A5:S52,2,FALSE()),"")</f>
        <v/>
      </c>
      <c r="D266" s="37"/>
      <c r="E266" s="61"/>
      <c r="F266" s="77" t="str">
        <f>IFERROR(VLOOKUP(B266,'Loan Master'!A5:S52,17,FALSE()),"")</f>
        <v/>
      </c>
      <c r="G266" s="39"/>
      <c r="H266" s="61"/>
      <c r="I266" s="37"/>
      <c r="J266" s="42" t="str">
        <f t="shared" si="12"/>
        <v/>
      </c>
      <c r="K266" s="44" t="str">
        <f t="shared" si="13"/>
        <v/>
      </c>
      <c r="L266" s="81"/>
    </row>
    <row r="267" ht="15.0" customHeight="1">
      <c r="A267" s="83" t="str">
        <f t="shared" si="1"/>
        <v/>
      </c>
      <c r="B267" s="99"/>
      <c r="C267" s="85" t="str">
        <f>IFERROR(VLOOKUP(B267,'Loan Master'!A5:S52,2,FALSE()),"")</f>
        <v/>
      </c>
      <c r="D267" s="99"/>
      <c r="E267" s="87"/>
      <c r="F267" s="88" t="str">
        <f>IFERROR(VLOOKUP(B267,'Loan Master'!A5:S52,17,FALSE()),"")</f>
        <v/>
      </c>
      <c r="G267" s="89"/>
      <c r="H267" s="87"/>
      <c r="I267" s="99"/>
      <c r="J267" s="102" t="str">
        <f t="shared" si="12"/>
        <v/>
      </c>
      <c r="K267" s="100" t="str">
        <f t="shared" si="13"/>
        <v/>
      </c>
      <c r="L267" s="92"/>
    </row>
    <row r="268" ht="15.0" customHeight="1">
      <c r="A268" s="36" t="str">
        <f t="shared" si="1"/>
        <v/>
      </c>
      <c r="B268" s="37"/>
      <c r="C268" s="75" t="str">
        <f>IFERROR(VLOOKUP(B268,'Loan Master'!A5:S52,2,FALSE()),"")</f>
        <v/>
      </c>
      <c r="D268" s="37"/>
      <c r="E268" s="61"/>
      <c r="F268" s="77" t="str">
        <f>IFERROR(VLOOKUP(B268,'Loan Master'!A5:S52,17,FALSE()),"")</f>
        <v/>
      </c>
      <c r="G268" s="39"/>
      <c r="H268" s="61"/>
      <c r="I268" s="37"/>
      <c r="J268" s="42" t="str">
        <f t="shared" si="12"/>
        <v/>
      </c>
      <c r="K268" s="44" t="str">
        <f t="shared" si="13"/>
        <v/>
      </c>
      <c r="L268" s="81"/>
    </row>
    <row r="269" ht="15.0" customHeight="1">
      <c r="A269" s="83" t="str">
        <f t="shared" si="1"/>
        <v/>
      </c>
      <c r="B269" s="99"/>
      <c r="C269" s="85" t="str">
        <f>IFERROR(VLOOKUP(B269,'Loan Master'!A5:S52,2,FALSE()),"")</f>
        <v/>
      </c>
      <c r="D269" s="99"/>
      <c r="E269" s="87"/>
      <c r="F269" s="88" t="str">
        <f>IFERROR(VLOOKUP(B269,'Loan Master'!A5:S52,17,FALSE()),"")</f>
        <v/>
      </c>
      <c r="G269" s="89"/>
      <c r="H269" s="87"/>
      <c r="I269" s="99"/>
      <c r="J269" s="102" t="str">
        <f t="shared" si="12"/>
        <v/>
      </c>
      <c r="K269" s="100" t="str">
        <f t="shared" si="13"/>
        <v/>
      </c>
      <c r="L269" s="92"/>
    </row>
    <row r="270" ht="15.0" customHeight="1">
      <c r="A270" s="36" t="str">
        <f t="shared" si="1"/>
        <v/>
      </c>
      <c r="B270" s="37"/>
      <c r="C270" s="75" t="str">
        <f>IFERROR(VLOOKUP(B270,'Loan Master'!A5:S52,2,FALSE()),"")</f>
        <v/>
      </c>
      <c r="D270" s="37"/>
      <c r="E270" s="61"/>
      <c r="F270" s="77" t="str">
        <f>IFERROR(VLOOKUP(B270,'Loan Master'!A5:S52,17,FALSE()),"")</f>
        <v/>
      </c>
      <c r="G270" s="39"/>
      <c r="H270" s="61"/>
      <c r="I270" s="37"/>
      <c r="J270" s="42" t="str">
        <f t="shared" si="12"/>
        <v/>
      </c>
      <c r="K270" s="44" t="str">
        <f t="shared" si="13"/>
        <v/>
      </c>
      <c r="L270" s="81"/>
    </row>
    <row r="271" ht="15.0" customHeight="1">
      <c r="A271" s="83" t="str">
        <f t="shared" si="1"/>
        <v/>
      </c>
      <c r="B271" s="99"/>
      <c r="C271" s="85" t="str">
        <f>IFERROR(VLOOKUP(B271,'Loan Master'!A5:S52,2,FALSE()),"")</f>
        <v/>
      </c>
      <c r="D271" s="99"/>
      <c r="E271" s="87"/>
      <c r="F271" s="88" t="str">
        <f>IFERROR(VLOOKUP(B271,'Loan Master'!A5:S52,17,FALSE()),"")</f>
        <v/>
      </c>
      <c r="G271" s="89"/>
      <c r="H271" s="87"/>
      <c r="I271" s="99"/>
      <c r="J271" s="102" t="str">
        <f t="shared" si="12"/>
        <v/>
      </c>
      <c r="K271" s="100" t="str">
        <f t="shared" si="13"/>
        <v/>
      </c>
      <c r="L271" s="92"/>
    </row>
    <row r="272" ht="15.0" customHeight="1">
      <c r="A272" s="36" t="str">
        <f t="shared" si="1"/>
        <v/>
      </c>
      <c r="B272" s="37"/>
      <c r="C272" s="75" t="str">
        <f>IFERROR(VLOOKUP(B272,'Loan Master'!A5:S52,2,FALSE()),"")</f>
        <v/>
      </c>
      <c r="D272" s="37"/>
      <c r="E272" s="61"/>
      <c r="F272" s="77" t="str">
        <f>IFERROR(VLOOKUP(B272,'Loan Master'!A5:S52,17,FALSE()),"")</f>
        <v/>
      </c>
      <c r="G272" s="39"/>
      <c r="H272" s="61"/>
      <c r="I272" s="37"/>
      <c r="J272" s="42" t="str">
        <f t="shared" si="12"/>
        <v/>
      </c>
      <c r="K272" s="44" t="str">
        <f t="shared" si="13"/>
        <v/>
      </c>
      <c r="L272" s="81"/>
    </row>
    <row r="273" ht="15.0" customHeight="1">
      <c r="A273" s="83" t="str">
        <f t="shared" si="1"/>
        <v/>
      </c>
      <c r="B273" s="99"/>
      <c r="C273" s="85" t="str">
        <f>IFERROR(VLOOKUP(B273,'Loan Master'!A5:S52,2,FALSE()),"")</f>
        <v/>
      </c>
      <c r="D273" s="99"/>
      <c r="E273" s="87"/>
      <c r="F273" s="88" t="str">
        <f>IFERROR(VLOOKUP(B273,'Loan Master'!A5:S52,17,FALSE()),"")</f>
        <v/>
      </c>
      <c r="G273" s="89"/>
      <c r="H273" s="87"/>
      <c r="I273" s="99"/>
      <c r="J273" s="102" t="str">
        <f t="shared" si="12"/>
        <v/>
      </c>
      <c r="K273" s="100" t="str">
        <f t="shared" si="13"/>
        <v/>
      </c>
      <c r="L273" s="92"/>
    </row>
    <row r="274" ht="15.0" customHeight="1">
      <c r="A274" s="36" t="str">
        <f t="shared" si="1"/>
        <v/>
      </c>
      <c r="B274" s="37"/>
      <c r="C274" s="75" t="str">
        <f>IFERROR(VLOOKUP(B274,'Loan Master'!A5:S52,2,FALSE()),"")</f>
        <v/>
      </c>
      <c r="D274" s="37"/>
      <c r="E274" s="61"/>
      <c r="F274" s="77" t="str">
        <f>IFERROR(VLOOKUP(B274,'Loan Master'!A5:S52,17,FALSE()),"")</f>
        <v/>
      </c>
      <c r="G274" s="39"/>
      <c r="H274" s="61"/>
      <c r="I274" s="37"/>
      <c r="J274" s="42" t="str">
        <f t="shared" si="12"/>
        <v/>
      </c>
      <c r="K274" s="44" t="str">
        <f t="shared" si="13"/>
        <v/>
      </c>
      <c r="L274" s="81"/>
    </row>
    <row r="275" ht="15.0" customHeight="1">
      <c r="A275" s="83" t="str">
        <f t="shared" si="1"/>
        <v/>
      </c>
      <c r="B275" s="99"/>
      <c r="C275" s="85" t="str">
        <f>IFERROR(VLOOKUP(B275,'Loan Master'!A5:S52,2,FALSE()),"")</f>
        <v/>
      </c>
      <c r="D275" s="99"/>
      <c r="E275" s="87"/>
      <c r="F275" s="88" t="str">
        <f>IFERROR(VLOOKUP(B275,'Loan Master'!A5:S52,17,FALSE()),"")</f>
        <v/>
      </c>
      <c r="G275" s="89"/>
      <c r="H275" s="87"/>
      <c r="I275" s="99"/>
      <c r="J275" s="102" t="str">
        <f t="shared" si="12"/>
        <v/>
      </c>
      <c r="K275" s="100" t="str">
        <f t="shared" si="13"/>
        <v/>
      </c>
      <c r="L275" s="92"/>
    </row>
    <row r="276" ht="15.0" customHeight="1">
      <c r="A276" s="36" t="str">
        <f t="shared" si="1"/>
        <v/>
      </c>
      <c r="B276" s="37"/>
      <c r="C276" s="75" t="str">
        <f>IFERROR(VLOOKUP(B276,'Loan Master'!A5:S52,2,FALSE()),"")</f>
        <v/>
      </c>
      <c r="D276" s="37"/>
      <c r="E276" s="61"/>
      <c r="F276" s="77" t="str">
        <f>IFERROR(VLOOKUP(B276,'Loan Master'!A5:S52,17,FALSE()),"")</f>
        <v/>
      </c>
      <c r="G276" s="39"/>
      <c r="H276" s="61"/>
      <c r="I276" s="37"/>
      <c r="J276" s="42" t="str">
        <f t="shared" si="12"/>
        <v/>
      </c>
      <c r="K276" s="44" t="str">
        <f t="shared" si="13"/>
        <v/>
      </c>
      <c r="L276" s="81"/>
    </row>
    <row r="277" ht="15.0" customHeight="1">
      <c r="A277" s="83" t="str">
        <f t="shared" si="1"/>
        <v/>
      </c>
      <c r="B277" s="99"/>
      <c r="C277" s="85" t="str">
        <f>IFERROR(VLOOKUP(B277,'Loan Master'!A5:S52,2,FALSE()),"")</f>
        <v/>
      </c>
      <c r="D277" s="99"/>
      <c r="E277" s="87"/>
      <c r="F277" s="88" t="str">
        <f>IFERROR(VLOOKUP(B277,'Loan Master'!A5:S52,17,FALSE()),"")</f>
        <v/>
      </c>
      <c r="G277" s="89"/>
      <c r="H277" s="87"/>
      <c r="I277" s="99"/>
      <c r="J277" s="102" t="str">
        <f t="shared" si="12"/>
        <v/>
      </c>
      <c r="K277" s="100" t="str">
        <f t="shared" si="13"/>
        <v/>
      </c>
      <c r="L277" s="92"/>
    </row>
    <row r="278" ht="15.0" customHeight="1">
      <c r="A278" s="36" t="str">
        <f t="shared" si="1"/>
        <v/>
      </c>
      <c r="B278" s="37"/>
      <c r="C278" s="75" t="str">
        <f>IFERROR(VLOOKUP(B278,'Loan Master'!A5:S52,2,FALSE()),"")</f>
        <v/>
      </c>
      <c r="D278" s="37"/>
      <c r="E278" s="61"/>
      <c r="F278" s="77" t="str">
        <f>IFERROR(VLOOKUP(B278,'Loan Master'!A5:S52,17,FALSE()),"")</f>
        <v/>
      </c>
      <c r="G278" s="39"/>
      <c r="H278" s="61"/>
      <c r="I278" s="37"/>
      <c r="J278" s="42" t="str">
        <f t="shared" si="12"/>
        <v/>
      </c>
      <c r="K278" s="44" t="str">
        <f t="shared" si="13"/>
        <v/>
      </c>
      <c r="L278" s="81"/>
    </row>
    <row r="279" ht="15.0" customHeight="1">
      <c r="A279" s="83" t="str">
        <f t="shared" si="1"/>
        <v/>
      </c>
      <c r="B279" s="99"/>
      <c r="C279" s="85" t="str">
        <f>IFERROR(VLOOKUP(B279,'Loan Master'!A5:S52,2,FALSE()),"")</f>
        <v/>
      </c>
      <c r="D279" s="99"/>
      <c r="E279" s="87"/>
      <c r="F279" s="88" t="str">
        <f>IFERROR(VLOOKUP(B279,'Loan Master'!A5:S52,17,FALSE()),"")</f>
        <v/>
      </c>
      <c r="G279" s="89"/>
      <c r="H279" s="87"/>
      <c r="I279" s="99"/>
      <c r="J279" s="102" t="str">
        <f t="shared" si="12"/>
        <v/>
      </c>
      <c r="K279" s="100" t="str">
        <f t="shared" si="13"/>
        <v/>
      </c>
      <c r="L279" s="92"/>
    </row>
    <row r="280" ht="15.0" customHeight="1">
      <c r="A280" s="36" t="str">
        <f t="shared" si="1"/>
        <v/>
      </c>
      <c r="B280" s="37"/>
      <c r="C280" s="75" t="str">
        <f>IFERROR(VLOOKUP(B280,'Loan Master'!A5:S52,2,FALSE()),"")</f>
        <v/>
      </c>
      <c r="D280" s="37"/>
      <c r="E280" s="61"/>
      <c r="F280" s="77" t="str">
        <f>IFERROR(VLOOKUP(B280,'Loan Master'!A5:S52,17,FALSE()),"")</f>
        <v/>
      </c>
      <c r="G280" s="39"/>
      <c r="H280" s="61"/>
      <c r="I280" s="37"/>
      <c r="J280" s="42" t="str">
        <f t="shared" si="12"/>
        <v/>
      </c>
      <c r="K280" s="44" t="str">
        <f t="shared" si="13"/>
        <v/>
      </c>
      <c r="L280" s="81"/>
    </row>
    <row r="281" ht="15.0" customHeight="1">
      <c r="A281" s="83" t="str">
        <f t="shared" si="1"/>
        <v/>
      </c>
      <c r="B281" s="99"/>
      <c r="C281" s="85" t="str">
        <f>IFERROR(VLOOKUP(B281,'Loan Master'!A5:S52,2,FALSE()),"")</f>
        <v/>
      </c>
      <c r="D281" s="99"/>
      <c r="E281" s="87"/>
      <c r="F281" s="88" t="str">
        <f>IFERROR(VLOOKUP(B281,'Loan Master'!A5:S52,17,FALSE()),"")</f>
        <v/>
      </c>
      <c r="G281" s="89"/>
      <c r="H281" s="87"/>
      <c r="I281" s="99"/>
      <c r="J281" s="102" t="str">
        <f t="shared" si="12"/>
        <v/>
      </c>
      <c r="K281" s="100" t="str">
        <f t="shared" si="13"/>
        <v/>
      </c>
      <c r="L281" s="92"/>
    </row>
    <row r="282" ht="15.0" customHeight="1">
      <c r="A282" s="36" t="str">
        <f t="shared" si="1"/>
        <v/>
      </c>
      <c r="B282" s="37"/>
      <c r="C282" s="75" t="str">
        <f>IFERROR(VLOOKUP(B282,'Loan Master'!A5:S52,2,FALSE()),"")</f>
        <v/>
      </c>
      <c r="D282" s="37"/>
      <c r="E282" s="61"/>
      <c r="F282" s="77" t="str">
        <f>IFERROR(VLOOKUP(B282,'Loan Master'!A5:S52,17,FALSE()),"")</f>
        <v/>
      </c>
      <c r="G282" s="39"/>
      <c r="H282" s="61"/>
      <c r="I282" s="37"/>
      <c r="J282" s="42" t="str">
        <f t="shared" si="12"/>
        <v/>
      </c>
      <c r="K282" s="44" t="str">
        <f t="shared" si="13"/>
        <v/>
      </c>
      <c r="L282" s="81"/>
    </row>
    <row r="283" ht="15.0" customHeight="1">
      <c r="A283" s="83" t="str">
        <f t="shared" si="1"/>
        <v/>
      </c>
      <c r="B283" s="99"/>
      <c r="C283" s="85" t="str">
        <f>IFERROR(VLOOKUP(B283,'Loan Master'!A5:S52,2,FALSE()),"")</f>
        <v/>
      </c>
      <c r="D283" s="99"/>
      <c r="E283" s="87"/>
      <c r="F283" s="88" t="str">
        <f>IFERROR(VLOOKUP(B283,'Loan Master'!A5:S52,17,FALSE()),"")</f>
        <v/>
      </c>
      <c r="G283" s="89"/>
      <c r="H283" s="87"/>
      <c r="I283" s="99"/>
      <c r="J283" s="102" t="str">
        <f t="shared" si="12"/>
        <v/>
      </c>
      <c r="K283" s="100" t="str">
        <f t="shared" si="13"/>
        <v/>
      </c>
      <c r="L283" s="92"/>
    </row>
    <row r="284" ht="15.0" customHeight="1">
      <c r="A284" s="36" t="str">
        <f t="shared" si="1"/>
        <v/>
      </c>
      <c r="B284" s="37"/>
      <c r="C284" s="75" t="str">
        <f>IFERROR(VLOOKUP(B284,'Loan Master'!A5:S52,2,FALSE()),"")</f>
        <v/>
      </c>
      <c r="D284" s="37"/>
      <c r="E284" s="61"/>
      <c r="F284" s="77" t="str">
        <f>IFERROR(VLOOKUP(B284,'Loan Master'!A5:S52,17,FALSE()),"")</f>
        <v/>
      </c>
      <c r="G284" s="39"/>
      <c r="H284" s="61"/>
      <c r="I284" s="37"/>
      <c r="J284" s="42" t="str">
        <f t="shared" si="12"/>
        <v/>
      </c>
      <c r="K284" s="44" t="str">
        <f t="shared" si="13"/>
        <v/>
      </c>
      <c r="L284" s="81"/>
    </row>
    <row r="285" ht="15.0" customHeight="1">
      <c r="A285" s="83" t="str">
        <f t="shared" si="1"/>
        <v/>
      </c>
      <c r="B285" s="99"/>
      <c r="C285" s="85" t="str">
        <f>IFERROR(VLOOKUP(B285,'Loan Master'!A5:S52,2,FALSE()),"")</f>
        <v/>
      </c>
      <c r="D285" s="99"/>
      <c r="E285" s="87"/>
      <c r="F285" s="88" t="str">
        <f>IFERROR(VLOOKUP(B285,'Loan Master'!A5:S52,17,FALSE()),"")</f>
        <v/>
      </c>
      <c r="G285" s="89"/>
      <c r="H285" s="87"/>
      <c r="I285" s="99"/>
      <c r="J285" s="102" t="str">
        <f t="shared" si="12"/>
        <v/>
      </c>
      <c r="K285" s="100" t="str">
        <f t="shared" si="13"/>
        <v/>
      </c>
      <c r="L285" s="92"/>
    </row>
    <row r="286" ht="15.0" customHeight="1">
      <c r="A286" s="36" t="str">
        <f t="shared" si="1"/>
        <v/>
      </c>
      <c r="B286" s="37"/>
      <c r="C286" s="75" t="str">
        <f>IFERROR(VLOOKUP(B286,'Loan Master'!A5:S52,2,FALSE()),"")</f>
        <v/>
      </c>
      <c r="D286" s="37"/>
      <c r="E286" s="61"/>
      <c r="F286" s="77" t="str">
        <f>IFERROR(VLOOKUP(B286,'Loan Master'!A5:S52,17,FALSE()),"")</f>
        <v/>
      </c>
      <c r="G286" s="39"/>
      <c r="H286" s="61"/>
      <c r="I286" s="37"/>
      <c r="J286" s="42" t="str">
        <f t="shared" si="12"/>
        <v/>
      </c>
      <c r="K286" s="44" t="str">
        <f t="shared" si="13"/>
        <v/>
      </c>
      <c r="L286" s="81"/>
    </row>
    <row r="287" ht="15.0" customHeight="1">
      <c r="A287" s="83" t="str">
        <f t="shared" si="1"/>
        <v/>
      </c>
      <c r="B287" s="99"/>
      <c r="C287" s="85" t="str">
        <f>IFERROR(VLOOKUP(B287,'Loan Master'!A5:S52,2,FALSE()),"")</f>
        <v/>
      </c>
      <c r="D287" s="99"/>
      <c r="E287" s="87"/>
      <c r="F287" s="88" t="str">
        <f>IFERROR(VLOOKUP(B287,'Loan Master'!A5:S52,17,FALSE()),"")</f>
        <v/>
      </c>
      <c r="G287" s="89"/>
      <c r="H287" s="87"/>
      <c r="I287" s="99"/>
      <c r="J287" s="102" t="str">
        <f t="shared" si="12"/>
        <v/>
      </c>
      <c r="K287" s="100" t="str">
        <f t="shared" si="13"/>
        <v/>
      </c>
      <c r="L287" s="92"/>
    </row>
    <row r="288" ht="15.0" customHeight="1">
      <c r="A288" s="36" t="str">
        <f t="shared" si="1"/>
        <v/>
      </c>
      <c r="B288" s="37"/>
      <c r="C288" s="75" t="str">
        <f>IFERROR(VLOOKUP(B288,'Loan Master'!A5:S52,2,FALSE()),"")</f>
        <v/>
      </c>
      <c r="D288" s="37"/>
      <c r="E288" s="61"/>
      <c r="F288" s="77" t="str">
        <f>IFERROR(VLOOKUP(B288,'Loan Master'!A5:S52,17,FALSE()),"")</f>
        <v/>
      </c>
      <c r="G288" s="39"/>
      <c r="H288" s="61"/>
      <c r="I288" s="37"/>
      <c r="J288" s="42" t="str">
        <f t="shared" si="12"/>
        <v/>
      </c>
      <c r="K288" s="44" t="str">
        <f t="shared" si="13"/>
        <v/>
      </c>
      <c r="L288" s="81"/>
    </row>
    <row r="289" ht="15.0" customHeight="1">
      <c r="A289" s="83" t="str">
        <f t="shared" si="1"/>
        <v/>
      </c>
      <c r="B289" s="99"/>
      <c r="C289" s="85" t="str">
        <f>IFERROR(VLOOKUP(B289,'Loan Master'!A5:S52,2,FALSE()),"")</f>
        <v/>
      </c>
      <c r="D289" s="99"/>
      <c r="E289" s="87"/>
      <c r="F289" s="88" t="str">
        <f>IFERROR(VLOOKUP(B289,'Loan Master'!A5:S52,17,FALSE()),"")</f>
        <v/>
      </c>
      <c r="G289" s="89"/>
      <c r="H289" s="87"/>
      <c r="I289" s="99"/>
      <c r="J289" s="102" t="str">
        <f t="shared" si="12"/>
        <v/>
      </c>
      <c r="K289" s="100" t="str">
        <f t="shared" si="13"/>
        <v/>
      </c>
      <c r="L289" s="92"/>
    </row>
    <row r="290" ht="15.0" customHeight="1">
      <c r="A290" s="36" t="str">
        <f t="shared" si="1"/>
        <v/>
      </c>
      <c r="B290" s="37"/>
      <c r="C290" s="75" t="str">
        <f>IFERROR(VLOOKUP(B290,'Loan Master'!A5:S52,2,FALSE()),"")</f>
        <v/>
      </c>
      <c r="D290" s="37"/>
      <c r="E290" s="61"/>
      <c r="F290" s="77" t="str">
        <f>IFERROR(VLOOKUP(B290,'Loan Master'!A5:S52,17,FALSE()),"")</f>
        <v/>
      </c>
      <c r="G290" s="39"/>
      <c r="H290" s="61"/>
      <c r="I290" s="37"/>
      <c r="J290" s="42" t="str">
        <f t="shared" si="12"/>
        <v/>
      </c>
      <c r="K290" s="44" t="str">
        <f t="shared" si="13"/>
        <v/>
      </c>
      <c r="L290" s="81"/>
    </row>
    <row r="291" ht="15.0" customHeight="1">
      <c r="A291" s="83" t="str">
        <f t="shared" si="1"/>
        <v/>
      </c>
      <c r="B291" s="99"/>
      <c r="C291" s="85" t="str">
        <f>IFERROR(VLOOKUP(B291,'Loan Master'!A5:S52,2,FALSE()),"")</f>
        <v/>
      </c>
      <c r="D291" s="99"/>
      <c r="E291" s="87"/>
      <c r="F291" s="88" t="str">
        <f>IFERROR(VLOOKUP(B291,'Loan Master'!A5:S52,17,FALSE()),"")</f>
        <v/>
      </c>
      <c r="G291" s="89"/>
      <c r="H291" s="87"/>
      <c r="I291" s="99"/>
      <c r="J291" s="102" t="str">
        <f t="shared" si="12"/>
        <v/>
      </c>
      <c r="K291" s="100" t="str">
        <f t="shared" si="13"/>
        <v/>
      </c>
      <c r="L291" s="92"/>
    </row>
    <row r="292" ht="15.0" customHeight="1">
      <c r="A292" s="36" t="str">
        <f t="shared" si="1"/>
        <v/>
      </c>
      <c r="B292" s="37"/>
      <c r="C292" s="75" t="str">
        <f>IFERROR(VLOOKUP(B292,'Loan Master'!A5:S52,2,FALSE()),"")</f>
        <v/>
      </c>
      <c r="D292" s="37"/>
      <c r="E292" s="61"/>
      <c r="F292" s="77" t="str">
        <f>IFERROR(VLOOKUP(B292,'Loan Master'!A5:S52,17,FALSE()),"")</f>
        <v/>
      </c>
      <c r="G292" s="39"/>
      <c r="H292" s="61"/>
      <c r="I292" s="37"/>
      <c r="J292" s="42" t="str">
        <f t="shared" si="12"/>
        <v/>
      </c>
      <c r="K292" s="44" t="str">
        <f t="shared" si="13"/>
        <v/>
      </c>
      <c r="L292" s="81"/>
    </row>
    <row r="293" ht="15.0" customHeight="1">
      <c r="A293" s="83" t="str">
        <f t="shared" si="1"/>
        <v/>
      </c>
      <c r="B293" s="99"/>
      <c r="C293" s="85" t="str">
        <f>IFERROR(VLOOKUP(B293,'Loan Master'!A5:S52,2,FALSE()),"")</f>
        <v/>
      </c>
      <c r="D293" s="99"/>
      <c r="E293" s="87"/>
      <c r="F293" s="88" t="str">
        <f>IFERROR(VLOOKUP(B293,'Loan Master'!A5:S52,17,FALSE()),"")</f>
        <v/>
      </c>
      <c r="G293" s="89"/>
      <c r="H293" s="87"/>
      <c r="I293" s="99"/>
      <c r="J293" s="102" t="str">
        <f t="shared" si="12"/>
        <v/>
      </c>
      <c r="K293" s="100" t="str">
        <f t="shared" si="13"/>
        <v/>
      </c>
      <c r="L293" s="92"/>
    </row>
    <row r="294" ht="15.0" customHeight="1">
      <c r="A294" s="36" t="str">
        <f t="shared" si="1"/>
        <v/>
      </c>
      <c r="B294" s="37"/>
      <c r="C294" s="75" t="str">
        <f>IFERROR(VLOOKUP(B294,'Loan Master'!A5:S52,2,FALSE()),"")</f>
        <v/>
      </c>
      <c r="D294" s="37"/>
      <c r="E294" s="61"/>
      <c r="F294" s="77" t="str">
        <f>IFERROR(VLOOKUP(B294,'Loan Master'!A5:S52,17,FALSE()),"")</f>
        <v/>
      </c>
      <c r="G294" s="39"/>
      <c r="H294" s="61"/>
      <c r="I294" s="37"/>
      <c r="J294" s="42" t="str">
        <f t="shared" si="12"/>
        <v/>
      </c>
      <c r="K294" s="44" t="str">
        <f t="shared" si="13"/>
        <v/>
      </c>
      <c r="L294" s="81"/>
    </row>
    <row r="295" ht="15.0" customHeight="1">
      <c r="A295" s="83" t="str">
        <f t="shared" si="1"/>
        <v/>
      </c>
      <c r="B295" s="99"/>
      <c r="C295" s="85" t="str">
        <f>IFERROR(VLOOKUP(B295,'Loan Master'!A5:S52,2,FALSE()),"")</f>
        <v/>
      </c>
      <c r="D295" s="99"/>
      <c r="E295" s="87"/>
      <c r="F295" s="88" t="str">
        <f>IFERROR(VLOOKUP(B295,'Loan Master'!A5:S52,17,FALSE()),"")</f>
        <v/>
      </c>
      <c r="G295" s="89"/>
      <c r="H295" s="87"/>
      <c r="I295" s="99"/>
      <c r="J295" s="102" t="str">
        <f t="shared" si="12"/>
        <v/>
      </c>
      <c r="K295" s="100" t="str">
        <f t="shared" si="13"/>
        <v/>
      </c>
      <c r="L295" s="92"/>
    </row>
    <row r="296" ht="15.0" customHeight="1">
      <c r="A296" s="36" t="str">
        <f t="shared" si="1"/>
        <v/>
      </c>
      <c r="B296" s="37"/>
      <c r="C296" s="75" t="str">
        <f>IFERROR(VLOOKUP(B296,'Loan Master'!A5:S52,2,FALSE()),"")</f>
        <v/>
      </c>
      <c r="D296" s="37"/>
      <c r="E296" s="61"/>
      <c r="F296" s="77" t="str">
        <f>IFERROR(VLOOKUP(B296,'Loan Master'!A5:S52,17,FALSE()),"")</f>
        <v/>
      </c>
      <c r="G296" s="39"/>
      <c r="H296" s="61"/>
      <c r="I296" s="37"/>
      <c r="J296" s="42" t="str">
        <f t="shared" si="12"/>
        <v/>
      </c>
      <c r="K296" s="44" t="str">
        <f t="shared" si="13"/>
        <v/>
      </c>
      <c r="L296" s="81"/>
    </row>
    <row r="297" ht="15.0" customHeight="1">
      <c r="A297" s="83" t="str">
        <f t="shared" si="1"/>
        <v/>
      </c>
      <c r="B297" s="99"/>
      <c r="C297" s="85" t="str">
        <f>IFERROR(VLOOKUP(B297,'Loan Master'!A5:S52,2,FALSE()),"")</f>
        <v/>
      </c>
      <c r="D297" s="99"/>
      <c r="E297" s="87"/>
      <c r="F297" s="88" t="str">
        <f>IFERROR(VLOOKUP(B297,'Loan Master'!A5:S52,17,FALSE()),"")</f>
        <v/>
      </c>
      <c r="G297" s="89"/>
      <c r="H297" s="87"/>
      <c r="I297" s="99"/>
      <c r="J297" s="102" t="str">
        <f t="shared" si="12"/>
        <v/>
      </c>
      <c r="K297" s="100" t="str">
        <f t="shared" si="13"/>
        <v/>
      </c>
      <c r="L297" s="92"/>
    </row>
    <row r="298" ht="15.0" customHeight="1">
      <c r="A298" s="36" t="str">
        <f t="shared" si="1"/>
        <v/>
      </c>
      <c r="B298" s="37"/>
      <c r="C298" s="75" t="str">
        <f>IFERROR(VLOOKUP(B298,'Loan Master'!A5:S52,2,FALSE()),"")</f>
        <v/>
      </c>
      <c r="D298" s="37"/>
      <c r="E298" s="61"/>
      <c r="F298" s="77" t="str">
        <f>IFERROR(VLOOKUP(B298,'Loan Master'!A5:S52,17,FALSE()),"")</f>
        <v/>
      </c>
      <c r="G298" s="39"/>
      <c r="H298" s="61"/>
      <c r="I298" s="37"/>
      <c r="J298" s="42" t="str">
        <f t="shared" si="12"/>
        <v/>
      </c>
      <c r="K298" s="44" t="str">
        <f t="shared" si="13"/>
        <v/>
      </c>
      <c r="L298" s="81"/>
    </row>
    <row r="299" ht="15.0" customHeight="1">
      <c r="A299" s="83" t="str">
        <f t="shared" si="1"/>
        <v/>
      </c>
      <c r="B299" s="99"/>
      <c r="C299" s="85" t="str">
        <f>IFERROR(VLOOKUP(B299,'Loan Master'!A5:S52,2,FALSE()),"")</f>
        <v/>
      </c>
      <c r="D299" s="99"/>
      <c r="E299" s="87"/>
      <c r="F299" s="88" t="str">
        <f>IFERROR(VLOOKUP(B299,'Loan Master'!A5:S52,17,FALSE()),"")</f>
        <v/>
      </c>
      <c r="G299" s="89"/>
      <c r="H299" s="87"/>
      <c r="I299" s="99"/>
      <c r="J299" s="102" t="str">
        <f t="shared" si="12"/>
        <v/>
      </c>
      <c r="K299" s="100" t="str">
        <f t="shared" si="13"/>
        <v/>
      </c>
      <c r="L299" s="92"/>
    </row>
    <row r="300" ht="15.0" customHeight="1">
      <c r="A300" s="36" t="str">
        <f t="shared" si="1"/>
        <v/>
      </c>
      <c r="B300" s="37"/>
      <c r="C300" s="75" t="str">
        <f>IFERROR(VLOOKUP(B300,'Loan Master'!A5:S52,2,FALSE()),"")</f>
        <v/>
      </c>
      <c r="D300" s="37"/>
      <c r="E300" s="61"/>
      <c r="F300" s="77" t="str">
        <f>IFERROR(VLOOKUP(B300,'Loan Master'!A5:S52,17,FALSE()),"")</f>
        <v/>
      </c>
      <c r="G300" s="39"/>
      <c r="H300" s="61"/>
      <c r="I300" s="37"/>
      <c r="J300" s="42" t="str">
        <f t="shared" si="12"/>
        <v/>
      </c>
      <c r="K300" s="44" t="str">
        <f t="shared" si="13"/>
        <v/>
      </c>
      <c r="L300" s="81"/>
    </row>
    <row r="301" ht="15.0" customHeight="1">
      <c r="A301" s="83" t="str">
        <f t="shared" si="1"/>
        <v/>
      </c>
      <c r="B301" s="99"/>
      <c r="C301" s="85" t="str">
        <f>IFERROR(VLOOKUP(B301,'Loan Master'!A5:S52,2,FALSE()),"")</f>
        <v/>
      </c>
      <c r="D301" s="99"/>
      <c r="E301" s="87"/>
      <c r="F301" s="88" t="str">
        <f>IFERROR(VLOOKUP(B301,'Loan Master'!A5:S52,17,FALSE()),"")</f>
        <v/>
      </c>
      <c r="G301" s="89"/>
      <c r="H301" s="87"/>
      <c r="I301" s="99"/>
      <c r="J301" s="102" t="str">
        <f t="shared" si="12"/>
        <v/>
      </c>
      <c r="K301" s="100" t="str">
        <f t="shared" si="13"/>
        <v/>
      </c>
      <c r="L301" s="92"/>
    </row>
    <row r="302" ht="15.0" customHeight="1">
      <c r="A302" s="36" t="str">
        <f t="shared" si="1"/>
        <v/>
      </c>
      <c r="B302" s="37"/>
      <c r="C302" s="75" t="str">
        <f>IFERROR(VLOOKUP(B302,'Loan Master'!A5:S52,2,FALSE()),"")</f>
        <v/>
      </c>
      <c r="D302" s="37"/>
      <c r="E302" s="61"/>
      <c r="F302" s="77" t="str">
        <f>IFERROR(VLOOKUP(B302,'Loan Master'!A5:S52,17,FALSE()),"")</f>
        <v/>
      </c>
      <c r="G302" s="39"/>
      <c r="H302" s="61"/>
      <c r="I302" s="37"/>
      <c r="J302" s="42" t="str">
        <f t="shared" si="12"/>
        <v/>
      </c>
      <c r="K302" s="44" t="str">
        <f t="shared" si="13"/>
        <v/>
      </c>
      <c r="L302" s="81"/>
    </row>
    <row r="303" ht="15.0" customHeight="1">
      <c r="A303" s="83" t="str">
        <f t="shared" si="1"/>
        <v/>
      </c>
      <c r="B303" s="99"/>
      <c r="C303" s="85" t="str">
        <f>IFERROR(VLOOKUP(B303,'Loan Master'!A5:S52,2,FALSE()),"")</f>
        <v/>
      </c>
      <c r="D303" s="99"/>
      <c r="E303" s="87"/>
      <c r="F303" s="88" t="str">
        <f>IFERROR(VLOOKUP(B303,'Loan Master'!A5:S52,17,FALSE()),"")</f>
        <v/>
      </c>
      <c r="G303" s="89"/>
      <c r="H303" s="87"/>
      <c r="I303" s="99"/>
      <c r="J303" s="102" t="str">
        <f t="shared" si="12"/>
        <v/>
      </c>
      <c r="K303" s="100" t="str">
        <f t="shared" si="13"/>
        <v/>
      </c>
      <c r="L303" s="92"/>
    </row>
    <row r="304" ht="15.0" customHeight="1">
      <c r="A304" s="36" t="str">
        <f t="shared" si="1"/>
        <v/>
      </c>
      <c r="B304" s="37"/>
      <c r="C304" s="75" t="str">
        <f>IFERROR(VLOOKUP(B304,'Loan Master'!A5:S52,2,FALSE()),"")</f>
        <v/>
      </c>
      <c r="D304" s="37"/>
      <c r="E304" s="61"/>
      <c r="F304" s="77" t="str">
        <f>IFERROR(VLOOKUP(B304,'Loan Master'!A5:S52,17,FALSE()),"")</f>
        <v/>
      </c>
      <c r="G304" s="39"/>
      <c r="H304" s="61"/>
      <c r="I304" s="37"/>
      <c r="J304" s="42" t="str">
        <f t="shared" si="12"/>
        <v/>
      </c>
      <c r="K304" s="44" t="str">
        <f t="shared" si="13"/>
        <v/>
      </c>
      <c r="L304" s="81"/>
    </row>
    <row r="305" ht="15.0" customHeight="1">
      <c r="A305" s="83" t="str">
        <f t="shared" si="1"/>
        <v/>
      </c>
      <c r="B305" s="99"/>
      <c r="C305" s="85" t="str">
        <f>IFERROR(VLOOKUP(B305,'Loan Master'!A5:S52,2,FALSE()),"")</f>
        <v/>
      </c>
      <c r="D305" s="99"/>
      <c r="E305" s="87"/>
      <c r="F305" s="88" t="str">
        <f>IFERROR(VLOOKUP(B305,'Loan Master'!A5:S52,17,FALSE()),"")</f>
        <v/>
      </c>
      <c r="G305" s="89"/>
      <c r="H305" s="87"/>
      <c r="I305" s="99"/>
      <c r="J305" s="102" t="str">
        <f t="shared" si="12"/>
        <v/>
      </c>
      <c r="K305" s="100" t="str">
        <f t="shared" si="13"/>
        <v/>
      </c>
      <c r="L305" s="92"/>
    </row>
    <row r="306" ht="15.0" customHeight="1">
      <c r="A306" s="36" t="str">
        <f t="shared" si="1"/>
        <v/>
      </c>
      <c r="B306" s="37"/>
      <c r="C306" s="75" t="str">
        <f>IFERROR(VLOOKUP(B306,'Loan Master'!A5:S52,2,FALSE()),"")</f>
        <v/>
      </c>
      <c r="D306" s="37"/>
      <c r="E306" s="61"/>
      <c r="F306" s="77" t="str">
        <f>IFERROR(VLOOKUP(B306,'Loan Master'!A5:S52,17,FALSE()),"")</f>
        <v/>
      </c>
      <c r="G306" s="39"/>
      <c r="H306" s="61"/>
      <c r="I306" s="37"/>
      <c r="J306" s="42" t="str">
        <f t="shared" si="12"/>
        <v/>
      </c>
      <c r="K306" s="44" t="str">
        <f t="shared" si="13"/>
        <v/>
      </c>
      <c r="L306" s="81"/>
    </row>
    <row r="307" ht="15.0" customHeight="1">
      <c r="A307" s="83" t="str">
        <f t="shared" si="1"/>
        <v/>
      </c>
      <c r="B307" s="99"/>
      <c r="C307" s="85" t="str">
        <f>IFERROR(VLOOKUP(B307,'Loan Master'!A5:S52,2,FALSE()),"")</f>
        <v/>
      </c>
      <c r="D307" s="99"/>
      <c r="E307" s="87"/>
      <c r="F307" s="88" t="str">
        <f>IFERROR(VLOOKUP(B307,'Loan Master'!A5:S52,17,FALSE()),"")</f>
        <v/>
      </c>
      <c r="G307" s="89"/>
      <c r="H307" s="87"/>
      <c r="I307" s="99"/>
      <c r="J307" s="102" t="str">
        <f t="shared" si="12"/>
        <v/>
      </c>
      <c r="K307" s="100" t="str">
        <f t="shared" si="13"/>
        <v/>
      </c>
      <c r="L307" s="92"/>
    </row>
    <row r="308" ht="15.0" customHeight="1">
      <c r="A308" s="36" t="str">
        <f t="shared" si="1"/>
        <v/>
      </c>
      <c r="B308" s="37"/>
      <c r="C308" s="75" t="str">
        <f>IFERROR(VLOOKUP(B308,'Loan Master'!A5:S52,2,FALSE()),"")</f>
        <v/>
      </c>
      <c r="D308" s="37"/>
      <c r="E308" s="61"/>
      <c r="F308" s="77" t="str">
        <f>IFERROR(VLOOKUP(B308,'Loan Master'!A5:S52,17,FALSE()),"")</f>
        <v/>
      </c>
      <c r="G308" s="39"/>
      <c r="H308" s="61"/>
      <c r="I308" s="37"/>
      <c r="J308" s="42" t="str">
        <f t="shared" si="12"/>
        <v/>
      </c>
      <c r="K308" s="44" t="str">
        <f t="shared" si="13"/>
        <v/>
      </c>
      <c r="L308" s="81"/>
    </row>
    <row r="309" ht="15.0" customHeight="1">
      <c r="A309" s="83" t="str">
        <f t="shared" si="1"/>
        <v/>
      </c>
      <c r="B309" s="99"/>
      <c r="C309" s="85" t="str">
        <f>IFERROR(VLOOKUP(B309,'Loan Master'!A5:S52,2,FALSE()),"")</f>
        <v/>
      </c>
      <c r="D309" s="99"/>
      <c r="E309" s="87"/>
      <c r="F309" s="88" t="str">
        <f>IFERROR(VLOOKUP(B309,'Loan Master'!A5:S52,17,FALSE()),"")</f>
        <v/>
      </c>
      <c r="G309" s="89"/>
      <c r="H309" s="87"/>
      <c r="I309" s="99"/>
      <c r="J309" s="102" t="str">
        <f t="shared" si="12"/>
        <v/>
      </c>
      <c r="K309" s="100" t="str">
        <f t="shared" si="13"/>
        <v/>
      </c>
      <c r="L309" s="92"/>
    </row>
    <row r="310" ht="15.0" customHeight="1">
      <c r="A310" s="36" t="str">
        <f t="shared" si="1"/>
        <v/>
      </c>
      <c r="B310" s="37"/>
      <c r="C310" s="75" t="str">
        <f>IFERROR(VLOOKUP(B310,'Loan Master'!A5:S52,2,FALSE()),"")</f>
        <v/>
      </c>
      <c r="D310" s="37"/>
      <c r="E310" s="61"/>
      <c r="F310" s="77" t="str">
        <f>IFERROR(VLOOKUP(B310,'Loan Master'!A5:S52,17,FALSE()),"")</f>
        <v/>
      </c>
      <c r="G310" s="39"/>
      <c r="H310" s="61"/>
      <c r="I310" s="37"/>
      <c r="J310" s="42" t="str">
        <f t="shared" si="12"/>
        <v/>
      </c>
      <c r="K310" s="44" t="str">
        <f t="shared" si="13"/>
        <v/>
      </c>
      <c r="L310" s="81"/>
    </row>
    <row r="311" ht="15.0" customHeight="1">
      <c r="A311" s="83" t="str">
        <f t="shared" si="1"/>
        <v/>
      </c>
      <c r="B311" s="99"/>
      <c r="C311" s="85" t="str">
        <f>IFERROR(VLOOKUP(B311,'Loan Master'!A5:S52,2,FALSE()),"")</f>
        <v/>
      </c>
      <c r="D311" s="99"/>
      <c r="E311" s="87"/>
      <c r="F311" s="88" t="str">
        <f>IFERROR(VLOOKUP(B311,'Loan Master'!A5:S52,17,FALSE()),"")</f>
        <v/>
      </c>
      <c r="G311" s="89"/>
      <c r="H311" s="87"/>
      <c r="I311" s="99"/>
      <c r="J311" s="102" t="str">
        <f t="shared" si="12"/>
        <v/>
      </c>
      <c r="K311" s="100" t="str">
        <f t="shared" si="13"/>
        <v/>
      </c>
      <c r="L311" s="92"/>
    </row>
    <row r="312" ht="15.0" customHeight="1">
      <c r="A312" s="36" t="str">
        <f t="shared" si="1"/>
        <v/>
      </c>
      <c r="B312" s="37"/>
      <c r="C312" s="75" t="str">
        <f>IFERROR(VLOOKUP(B312,'Loan Master'!A5:S52,2,FALSE()),"")</f>
        <v/>
      </c>
      <c r="D312" s="37"/>
      <c r="E312" s="61"/>
      <c r="F312" s="77" t="str">
        <f>IFERROR(VLOOKUP(B312,'Loan Master'!A5:S52,17,FALSE()),"")</f>
        <v/>
      </c>
      <c r="G312" s="39"/>
      <c r="H312" s="61"/>
      <c r="I312" s="37"/>
      <c r="J312" s="42" t="str">
        <f t="shared" si="12"/>
        <v/>
      </c>
      <c r="K312" s="44" t="str">
        <f t="shared" si="13"/>
        <v/>
      </c>
      <c r="L312" s="81"/>
    </row>
    <row r="313" ht="15.0" customHeight="1">
      <c r="A313" s="83" t="str">
        <f t="shared" si="1"/>
        <v/>
      </c>
      <c r="B313" s="99"/>
      <c r="C313" s="85" t="str">
        <f>IFERROR(VLOOKUP(B313,'Loan Master'!A5:S52,2,FALSE()),"")</f>
        <v/>
      </c>
      <c r="D313" s="99"/>
      <c r="E313" s="87"/>
      <c r="F313" s="88" t="str">
        <f>IFERROR(VLOOKUP(B313,'Loan Master'!A5:S52,17,FALSE()),"")</f>
        <v/>
      </c>
      <c r="G313" s="89"/>
      <c r="H313" s="87"/>
      <c r="I313" s="99"/>
      <c r="J313" s="102" t="str">
        <f t="shared" si="12"/>
        <v/>
      </c>
      <c r="K313" s="100" t="str">
        <f t="shared" si="13"/>
        <v/>
      </c>
      <c r="L313" s="92"/>
    </row>
    <row r="314" ht="15.0" customHeight="1">
      <c r="A314" s="36" t="str">
        <f t="shared" si="1"/>
        <v/>
      </c>
      <c r="B314" s="37"/>
      <c r="C314" s="75" t="str">
        <f>IFERROR(VLOOKUP(B314,'Loan Master'!A5:S52,2,FALSE()),"")</f>
        <v/>
      </c>
      <c r="D314" s="37"/>
      <c r="E314" s="61"/>
      <c r="F314" s="77" t="str">
        <f>IFERROR(VLOOKUP(B314,'Loan Master'!A5:S52,17,FALSE()),"")</f>
        <v/>
      </c>
      <c r="G314" s="39"/>
      <c r="H314" s="61"/>
      <c r="I314" s="37"/>
      <c r="J314" s="42" t="str">
        <f t="shared" si="12"/>
        <v/>
      </c>
      <c r="K314" s="44" t="str">
        <f t="shared" si="13"/>
        <v/>
      </c>
      <c r="L314" s="81"/>
    </row>
    <row r="315" ht="15.0" customHeight="1">
      <c r="A315" s="83" t="str">
        <f t="shared" si="1"/>
        <v/>
      </c>
      <c r="B315" s="99"/>
      <c r="C315" s="85" t="str">
        <f>IFERROR(VLOOKUP(B315,'Loan Master'!A5:S52,2,FALSE()),"")</f>
        <v/>
      </c>
      <c r="D315" s="99"/>
      <c r="E315" s="87"/>
      <c r="F315" s="88" t="str">
        <f>IFERROR(VLOOKUP(B315,'Loan Master'!A5:S52,17,FALSE()),"")</f>
        <v/>
      </c>
      <c r="G315" s="89"/>
      <c r="H315" s="87"/>
      <c r="I315" s="99"/>
      <c r="J315" s="102" t="str">
        <f t="shared" si="12"/>
        <v/>
      </c>
      <c r="K315" s="100" t="str">
        <f t="shared" si="13"/>
        <v/>
      </c>
      <c r="L315" s="92"/>
    </row>
    <row r="316" ht="15.0" customHeight="1">
      <c r="A316" s="36" t="str">
        <f t="shared" si="1"/>
        <v/>
      </c>
      <c r="B316" s="37"/>
      <c r="C316" s="75" t="str">
        <f>IFERROR(VLOOKUP(B316,'Loan Master'!A5:S52,2,FALSE()),"")</f>
        <v/>
      </c>
      <c r="D316" s="37"/>
      <c r="E316" s="61"/>
      <c r="F316" s="77" t="str">
        <f>IFERROR(VLOOKUP(B316,'Loan Master'!A5:S52,17,FALSE()),"")</f>
        <v/>
      </c>
      <c r="G316" s="39"/>
      <c r="H316" s="61"/>
      <c r="I316" s="37"/>
      <c r="J316" s="42" t="str">
        <f t="shared" si="12"/>
        <v/>
      </c>
      <c r="K316" s="44" t="str">
        <f t="shared" si="13"/>
        <v/>
      </c>
      <c r="L316" s="81"/>
    </row>
    <row r="317" ht="15.0" customHeight="1">
      <c r="A317" s="83" t="str">
        <f t="shared" si="1"/>
        <v/>
      </c>
      <c r="B317" s="99"/>
      <c r="C317" s="85" t="str">
        <f>IFERROR(VLOOKUP(B317,'Loan Master'!A5:S52,2,FALSE()),"")</f>
        <v/>
      </c>
      <c r="D317" s="99"/>
      <c r="E317" s="87"/>
      <c r="F317" s="88" t="str">
        <f>IFERROR(VLOOKUP(B317,'Loan Master'!A5:S52,17,FALSE()),"")</f>
        <v/>
      </c>
      <c r="G317" s="89"/>
      <c r="H317" s="87"/>
      <c r="I317" s="99"/>
      <c r="J317" s="102" t="str">
        <f t="shared" si="12"/>
        <v/>
      </c>
      <c r="K317" s="100" t="str">
        <f t="shared" si="13"/>
        <v/>
      </c>
      <c r="L317" s="92"/>
    </row>
    <row r="318" ht="15.0" customHeight="1">
      <c r="A318" s="36" t="str">
        <f t="shared" si="1"/>
        <v/>
      </c>
      <c r="B318" s="37"/>
      <c r="C318" s="75" t="str">
        <f>IFERROR(VLOOKUP(B318,'Loan Master'!A5:S52,2,FALSE()),"")</f>
        <v/>
      </c>
      <c r="D318" s="37"/>
      <c r="E318" s="61"/>
      <c r="F318" s="77" t="str">
        <f>IFERROR(VLOOKUP(B318,'Loan Master'!A5:S52,17,FALSE()),"")</f>
        <v/>
      </c>
      <c r="G318" s="39"/>
      <c r="H318" s="61"/>
      <c r="I318" s="37"/>
      <c r="J318" s="42" t="str">
        <f t="shared" si="12"/>
        <v/>
      </c>
      <c r="K318" s="44" t="str">
        <f t="shared" si="13"/>
        <v/>
      </c>
      <c r="L318" s="81"/>
    </row>
    <row r="319" ht="15.0" customHeight="1">
      <c r="A319" s="83" t="str">
        <f t="shared" si="1"/>
        <v/>
      </c>
      <c r="B319" s="99"/>
      <c r="C319" s="85" t="str">
        <f>IFERROR(VLOOKUP(B319,'Loan Master'!A5:S52,2,FALSE()),"")</f>
        <v/>
      </c>
      <c r="D319" s="99"/>
      <c r="E319" s="87"/>
      <c r="F319" s="88" t="str">
        <f>IFERROR(VLOOKUP(B319,'Loan Master'!A5:S52,17,FALSE()),"")</f>
        <v/>
      </c>
      <c r="G319" s="89"/>
      <c r="H319" s="87"/>
      <c r="I319" s="99"/>
      <c r="J319" s="102" t="str">
        <f t="shared" si="12"/>
        <v/>
      </c>
      <c r="K319" s="100" t="str">
        <f t="shared" si="13"/>
        <v/>
      </c>
      <c r="L319" s="92"/>
    </row>
    <row r="320" ht="15.0" customHeight="1">
      <c r="A320" s="36" t="str">
        <f t="shared" si="1"/>
        <v/>
      </c>
      <c r="B320" s="37"/>
      <c r="C320" s="75" t="str">
        <f>IFERROR(VLOOKUP(B320,'Loan Master'!A5:S52,2,FALSE()),"")</f>
        <v/>
      </c>
      <c r="D320" s="37"/>
      <c r="E320" s="61"/>
      <c r="F320" s="77" t="str">
        <f>IFERROR(VLOOKUP(B320,'Loan Master'!A5:S52,17,FALSE()),"")</f>
        <v/>
      </c>
      <c r="G320" s="39"/>
      <c r="H320" s="61"/>
      <c r="I320" s="37"/>
      <c r="J320" s="42" t="str">
        <f t="shared" si="12"/>
        <v/>
      </c>
      <c r="K320" s="44" t="str">
        <f t="shared" si="13"/>
        <v/>
      </c>
      <c r="L320" s="81"/>
    </row>
    <row r="321" ht="15.0" customHeight="1">
      <c r="A321" s="83" t="str">
        <f t="shared" si="1"/>
        <v/>
      </c>
      <c r="B321" s="99"/>
      <c r="C321" s="85" t="str">
        <f>IFERROR(VLOOKUP(B321,'Loan Master'!A5:S52,2,FALSE()),"")</f>
        <v/>
      </c>
      <c r="D321" s="99"/>
      <c r="E321" s="87"/>
      <c r="F321" s="88" t="str">
        <f>IFERROR(VLOOKUP(B321,'Loan Master'!A5:S52,17,FALSE()),"")</f>
        <v/>
      </c>
      <c r="G321" s="89"/>
      <c r="H321" s="87"/>
      <c r="I321" s="99"/>
      <c r="J321" s="102" t="str">
        <f t="shared" si="12"/>
        <v/>
      </c>
      <c r="K321" s="100" t="str">
        <f t="shared" si="13"/>
        <v/>
      </c>
      <c r="L321" s="92"/>
    </row>
    <row r="322" ht="15.0" customHeight="1">
      <c r="A322" s="36" t="str">
        <f t="shared" si="1"/>
        <v/>
      </c>
      <c r="B322" s="37"/>
      <c r="C322" s="75" t="str">
        <f>IFERROR(VLOOKUP(B322,'Loan Master'!A5:S52,2,FALSE()),"")</f>
        <v/>
      </c>
      <c r="D322" s="37"/>
      <c r="E322" s="61"/>
      <c r="F322" s="77" t="str">
        <f>IFERROR(VLOOKUP(B322,'Loan Master'!A5:S52,17,FALSE()),"")</f>
        <v/>
      </c>
      <c r="G322" s="39"/>
      <c r="H322" s="61"/>
      <c r="I322" s="37"/>
      <c r="J322" s="42" t="str">
        <f t="shared" si="12"/>
        <v/>
      </c>
      <c r="K322" s="44" t="str">
        <f t="shared" si="13"/>
        <v/>
      </c>
      <c r="L322" s="81"/>
    </row>
    <row r="323" ht="15.0" customHeight="1">
      <c r="A323" s="83" t="str">
        <f t="shared" si="1"/>
        <v/>
      </c>
      <c r="B323" s="99"/>
      <c r="C323" s="85" t="str">
        <f>IFERROR(VLOOKUP(B323,'Loan Master'!A5:S52,2,FALSE()),"")</f>
        <v/>
      </c>
      <c r="D323" s="99"/>
      <c r="E323" s="87"/>
      <c r="F323" s="88" t="str">
        <f>IFERROR(VLOOKUP(B323,'Loan Master'!A5:S52,17,FALSE()),"")</f>
        <v/>
      </c>
      <c r="G323" s="89"/>
      <c r="H323" s="87"/>
      <c r="I323" s="99"/>
      <c r="J323" s="102" t="str">
        <f t="shared" si="12"/>
        <v/>
      </c>
      <c r="K323" s="100" t="str">
        <f t="shared" si="13"/>
        <v/>
      </c>
      <c r="L323" s="92"/>
    </row>
    <row r="324" ht="15.0" customHeight="1">
      <c r="A324" s="36" t="str">
        <f t="shared" si="1"/>
        <v/>
      </c>
      <c r="B324" s="37"/>
      <c r="C324" s="75" t="str">
        <f>IFERROR(VLOOKUP(B324,'Loan Master'!A5:S52,2,FALSE()),"")</f>
        <v/>
      </c>
      <c r="D324" s="37"/>
      <c r="E324" s="61"/>
      <c r="F324" s="77" t="str">
        <f>IFERROR(VLOOKUP(B324,'Loan Master'!A5:S52,17,FALSE()),"")</f>
        <v/>
      </c>
      <c r="G324" s="39"/>
      <c r="H324" s="61"/>
      <c r="I324" s="37"/>
      <c r="J324" s="42" t="str">
        <f t="shared" si="12"/>
        <v/>
      </c>
      <c r="K324" s="44" t="str">
        <f t="shared" si="13"/>
        <v/>
      </c>
      <c r="L324" s="81"/>
    </row>
    <row r="325" ht="15.0" customHeight="1">
      <c r="A325" s="83" t="str">
        <f t="shared" si="1"/>
        <v/>
      </c>
      <c r="B325" s="99"/>
      <c r="C325" s="85" t="str">
        <f>IFERROR(VLOOKUP(B325,'Loan Master'!A5:S52,2,FALSE()),"")</f>
        <v/>
      </c>
      <c r="D325" s="99"/>
      <c r="E325" s="87"/>
      <c r="F325" s="88" t="str">
        <f>IFERROR(VLOOKUP(B325,'Loan Master'!A5:S52,17,FALSE()),"")</f>
        <v/>
      </c>
      <c r="G325" s="89"/>
      <c r="H325" s="87"/>
      <c r="I325" s="99"/>
      <c r="J325" s="102" t="str">
        <f t="shared" si="12"/>
        <v/>
      </c>
      <c r="K325" s="100" t="str">
        <f t="shared" si="13"/>
        <v/>
      </c>
      <c r="L325" s="92"/>
    </row>
    <row r="326" ht="15.0" customHeight="1">
      <c r="A326" s="36" t="str">
        <f t="shared" si="1"/>
        <v/>
      </c>
      <c r="B326" s="37"/>
      <c r="C326" s="75" t="str">
        <f>IFERROR(VLOOKUP(B326,'Loan Master'!A5:S52,2,FALSE()),"")</f>
        <v/>
      </c>
      <c r="D326" s="37"/>
      <c r="E326" s="61"/>
      <c r="F326" s="77" t="str">
        <f>IFERROR(VLOOKUP(B326,'Loan Master'!A5:S52,17,FALSE()),"")</f>
        <v/>
      </c>
      <c r="G326" s="39"/>
      <c r="H326" s="61"/>
      <c r="I326" s="37"/>
      <c r="J326" s="42" t="str">
        <f t="shared" si="12"/>
        <v/>
      </c>
      <c r="K326" s="44" t="str">
        <f t="shared" si="13"/>
        <v/>
      </c>
      <c r="L326" s="81"/>
    </row>
    <row r="327" ht="15.0" customHeight="1">
      <c r="A327" s="83" t="str">
        <f t="shared" si="1"/>
        <v/>
      </c>
      <c r="B327" s="99"/>
      <c r="C327" s="85" t="str">
        <f>IFERROR(VLOOKUP(B327,'Loan Master'!A5:S52,2,FALSE()),"")</f>
        <v/>
      </c>
      <c r="D327" s="99"/>
      <c r="E327" s="87"/>
      <c r="F327" s="88" t="str">
        <f>IFERROR(VLOOKUP(B327,'Loan Master'!A5:S52,17,FALSE()),"")</f>
        <v/>
      </c>
      <c r="G327" s="89"/>
      <c r="H327" s="87"/>
      <c r="I327" s="99"/>
      <c r="J327" s="102" t="str">
        <f t="shared" si="12"/>
        <v/>
      </c>
      <c r="K327" s="100" t="str">
        <f t="shared" si="13"/>
        <v/>
      </c>
      <c r="L327" s="92"/>
    </row>
    <row r="328" ht="15.0" customHeight="1">
      <c r="A328" s="36" t="str">
        <f t="shared" si="1"/>
        <v/>
      </c>
      <c r="B328" s="37"/>
      <c r="C328" s="75" t="str">
        <f>IFERROR(VLOOKUP(B328,'Loan Master'!A5:S52,2,FALSE()),"")</f>
        <v/>
      </c>
      <c r="D328" s="37"/>
      <c r="E328" s="61"/>
      <c r="F328" s="77" t="str">
        <f>IFERROR(VLOOKUP(B328,'Loan Master'!A5:S52,17,FALSE()),"")</f>
        <v/>
      </c>
      <c r="G328" s="39"/>
      <c r="H328" s="61"/>
      <c r="I328" s="37"/>
      <c r="J328" s="42" t="str">
        <f t="shared" si="12"/>
        <v/>
      </c>
      <c r="K328" s="44" t="str">
        <f t="shared" si="13"/>
        <v/>
      </c>
      <c r="L328" s="81"/>
    </row>
    <row r="329" ht="15.0" customHeight="1">
      <c r="A329" s="83" t="str">
        <f t="shared" si="1"/>
        <v/>
      </c>
      <c r="B329" s="99"/>
      <c r="C329" s="85" t="str">
        <f>IFERROR(VLOOKUP(B329,'Loan Master'!A5:S52,2,FALSE()),"")</f>
        <v/>
      </c>
      <c r="D329" s="99"/>
      <c r="E329" s="87"/>
      <c r="F329" s="88" t="str">
        <f>IFERROR(VLOOKUP(B329,'Loan Master'!A5:S52,17,FALSE()),"")</f>
        <v/>
      </c>
      <c r="G329" s="89"/>
      <c r="H329" s="87"/>
      <c r="I329" s="99"/>
      <c r="J329" s="102" t="str">
        <f t="shared" si="12"/>
        <v/>
      </c>
      <c r="K329" s="100" t="str">
        <f t="shared" si="13"/>
        <v/>
      </c>
      <c r="L329" s="92"/>
    </row>
    <row r="330" ht="15.0" customHeight="1">
      <c r="A330" s="36" t="str">
        <f t="shared" si="1"/>
        <v/>
      </c>
      <c r="B330" s="37"/>
      <c r="C330" s="75" t="str">
        <f>IFERROR(VLOOKUP(B330,'Loan Master'!A5:S52,2,FALSE()),"")</f>
        <v/>
      </c>
      <c r="D330" s="37"/>
      <c r="E330" s="61"/>
      <c r="F330" s="77" t="str">
        <f>IFERROR(VLOOKUP(B330,'Loan Master'!A5:S52,17,FALSE()),"")</f>
        <v/>
      </c>
      <c r="G330" s="39"/>
      <c r="H330" s="61"/>
      <c r="I330" s="37"/>
      <c r="J330" s="42" t="str">
        <f t="shared" si="12"/>
        <v/>
      </c>
      <c r="K330" s="44" t="str">
        <f t="shared" si="13"/>
        <v/>
      </c>
      <c r="L330" s="81"/>
    </row>
    <row r="331" ht="15.0" customHeight="1">
      <c r="A331" s="83" t="str">
        <f t="shared" si="1"/>
        <v/>
      </c>
      <c r="B331" s="99"/>
      <c r="C331" s="85" t="str">
        <f>IFERROR(VLOOKUP(B331,'Loan Master'!A5:S52,2,FALSE()),"")</f>
        <v/>
      </c>
      <c r="D331" s="99"/>
      <c r="E331" s="87"/>
      <c r="F331" s="88" t="str">
        <f>IFERROR(VLOOKUP(B331,'Loan Master'!A5:S52,17,FALSE()),"")</f>
        <v/>
      </c>
      <c r="G331" s="89"/>
      <c r="H331" s="87"/>
      <c r="I331" s="99"/>
      <c r="J331" s="102" t="str">
        <f t="shared" si="12"/>
        <v/>
      </c>
      <c r="K331" s="100" t="str">
        <f t="shared" si="13"/>
        <v/>
      </c>
      <c r="L331" s="92"/>
    </row>
    <row r="332" ht="15.0" customHeight="1">
      <c r="A332" s="36" t="str">
        <f t="shared" si="1"/>
        <v/>
      </c>
      <c r="B332" s="37"/>
      <c r="C332" s="75" t="str">
        <f>IFERROR(VLOOKUP(B332,'Loan Master'!A5:S52,2,FALSE()),"")</f>
        <v/>
      </c>
      <c r="D332" s="37"/>
      <c r="E332" s="61"/>
      <c r="F332" s="77" t="str">
        <f>IFERROR(VLOOKUP(B332,'Loan Master'!A5:S52,17,FALSE()),"")</f>
        <v/>
      </c>
      <c r="G332" s="39"/>
      <c r="H332" s="61"/>
      <c r="I332" s="37"/>
      <c r="J332" s="42" t="str">
        <f t="shared" si="12"/>
        <v/>
      </c>
      <c r="K332" s="44" t="str">
        <f t="shared" si="13"/>
        <v/>
      </c>
      <c r="L332" s="81"/>
    </row>
    <row r="333" ht="15.0" customHeight="1">
      <c r="A333" s="83" t="str">
        <f t="shared" si="1"/>
        <v/>
      </c>
      <c r="B333" s="99"/>
      <c r="C333" s="85" t="str">
        <f>IFERROR(VLOOKUP(B333,'Loan Master'!A5:S52,2,FALSE()),"")</f>
        <v/>
      </c>
      <c r="D333" s="99"/>
      <c r="E333" s="87"/>
      <c r="F333" s="88" t="str">
        <f>IFERROR(VLOOKUP(B333,'Loan Master'!A5:S52,17,FALSE()),"")</f>
        <v/>
      </c>
      <c r="G333" s="89"/>
      <c r="H333" s="87"/>
      <c r="I333" s="99"/>
      <c r="J333" s="102" t="str">
        <f t="shared" si="12"/>
        <v/>
      </c>
      <c r="K333" s="100" t="str">
        <f t="shared" si="13"/>
        <v/>
      </c>
      <c r="L333" s="92"/>
    </row>
    <row r="334" ht="15.0" customHeight="1">
      <c r="A334" s="36" t="str">
        <f t="shared" si="1"/>
        <v/>
      </c>
      <c r="B334" s="37"/>
      <c r="C334" s="75" t="str">
        <f>IFERROR(VLOOKUP(B334,'Loan Master'!A5:S52,2,FALSE()),"")</f>
        <v/>
      </c>
      <c r="D334" s="37"/>
      <c r="E334" s="61"/>
      <c r="F334" s="77" t="str">
        <f>IFERROR(VLOOKUP(B334,'Loan Master'!A5:S52,17,FALSE()),"")</f>
        <v/>
      </c>
      <c r="G334" s="39"/>
      <c r="H334" s="61"/>
      <c r="I334" s="37"/>
      <c r="J334" s="42" t="str">
        <f t="shared" si="12"/>
        <v/>
      </c>
      <c r="K334" s="44" t="str">
        <f t="shared" si="13"/>
        <v/>
      </c>
      <c r="L334" s="81"/>
    </row>
    <row r="335" ht="15.0" customHeight="1">
      <c r="A335" s="83" t="str">
        <f t="shared" si="1"/>
        <v/>
      </c>
      <c r="B335" s="99"/>
      <c r="C335" s="85" t="str">
        <f>IFERROR(VLOOKUP(B335,'Loan Master'!A5:S52,2,FALSE()),"")</f>
        <v/>
      </c>
      <c r="D335" s="99"/>
      <c r="E335" s="87"/>
      <c r="F335" s="88" t="str">
        <f>IFERROR(VLOOKUP(B335,'Loan Master'!A5:S52,17,FALSE()),"")</f>
        <v/>
      </c>
      <c r="G335" s="89"/>
      <c r="H335" s="87"/>
      <c r="I335" s="99"/>
      <c r="J335" s="102" t="str">
        <f t="shared" si="12"/>
        <v/>
      </c>
      <c r="K335" s="100" t="str">
        <f t="shared" si="13"/>
        <v/>
      </c>
      <c r="L335" s="92"/>
    </row>
    <row r="336" ht="15.0" customHeight="1">
      <c r="A336" s="36" t="str">
        <f t="shared" si="1"/>
        <v/>
      </c>
      <c r="B336" s="37"/>
      <c r="C336" s="75" t="str">
        <f>IFERROR(VLOOKUP(B336,'Loan Master'!A5:S52,2,FALSE()),"")</f>
        <v/>
      </c>
      <c r="D336" s="37"/>
      <c r="E336" s="61"/>
      <c r="F336" s="77" t="str">
        <f>IFERROR(VLOOKUP(B336,'Loan Master'!A5:S52,17,FALSE()),"")</f>
        <v/>
      </c>
      <c r="G336" s="39"/>
      <c r="H336" s="61"/>
      <c r="I336" s="37"/>
      <c r="J336" s="42" t="str">
        <f t="shared" si="12"/>
        <v/>
      </c>
      <c r="K336" s="44" t="str">
        <f t="shared" si="13"/>
        <v/>
      </c>
      <c r="L336" s="81"/>
    </row>
    <row r="337" ht="15.0" customHeight="1">
      <c r="A337" s="83" t="str">
        <f t="shared" si="1"/>
        <v/>
      </c>
      <c r="B337" s="99"/>
      <c r="C337" s="85" t="str">
        <f>IFERROR(VLOOKUP(B337,'Loan Master'!A5:S52,2,FALSE()),"")</f>
        <v/>
      </c>
      <c r="D337" s="99"/>
      <c r="E337" s="87"/>
      <c r="F337" s="88" t="str">
        <f>IFERROR(VLOOKUP(B337,'Loan Master'!A5:S52,17,FALSE()),"")</f>
        <v/>
      </c>
      <c r="G337" s="89"/>
      <c r="H337" s="87"/>
      <c r="I337" s="99"/>
      <c r="J337" s="102" t="str">
        <f t="shared" si="12"/>
        <v/>
      </c>
      <c r="K337" s="100" t="str">
        <f t="shared" si="13"/>
        <v/>
      </c>
      <c r="L337" s="92"/>
    </row>
    <row r="338" ht="15.0" customHeight="1">
      <c r="A338" s="36" t="str">
        <f t="shared" si="1"/>
        <v/>
      </c>
      <c r="B338" s="37"/>
      <c r="C338" s="75" t="str">
        <f>IFERROR(VLOOKUP(B338,'Loan Master'!A5:S52,2,FALSE()),"")</f>
        <v/>
      </c>
      <c r="D338" s="37"/>
      <c r="E338" s="61"/>
      <c r="F338" s="77" t="str">
        <f>IFERROR(VLOOKUP(B338,'Loan Master'!A5:S52,17,FALSE()),"")</f>
        <v/>
      </c>
      <c r="G338" s="39"/>
      <c r="H338" s="61"/>
      <c r="I338" s="37"/>
      <c r="J338" s="42" t="str">
        <f t="shared" si="12"/>
        <v/>
      </c>
      <c r="K338" s="44" t="str">
        <f t="shared" si="13"/>
        <v/>
      </c>
      <c r="L338" s="81"/>
    </row>
    <row r="339" ht="15.0" customHeight="1">
      <c r="A339" s="83" t="str">
        <f t="shared" si="1"/>
        <v/>
      </c>
      <c r="B339" s="99"/>
      <c r="C339" s="85" t="str">
        <f>IFERROR(VLOOKUP(B339,'Loan Master'!A5:S52,2,FALSE()),"")</f>
        <v/>
      </c>
      <c r="D339" s="99"/>
      <c r="E339" s="87"/>
      <c r="F339" s="88" t="str">
        <f>IFERROR(VLOOKUP(B339,'Loan Master'!A5:S52,17,FALSE()),"")</f>
        <v/>
      </c>
      <c r="G339" s="89"/>
      <c r="H339" s="87"/>
      <c r="I339" s="99"/>
      <c r="J339" s="102" t="str">
        <f t="shared" si="12"/>
        <v/>
      </c>
      <c r="K339" s="100" t="str">
        <f t="shared" si="13"/>
        <v/>
      </c>
      <c r="L339" s="92"/>
    </row>
    <row r="340" ht="15.0" customHeight="1">
      <c r="A340" s="36" t="str">
        <f t="shared" si="1"/>
        <v/>
      </c>
      <c r="B340" s="37"/>
      <c r="C340" s="75" t="str">
        <f>IFERROR(VLOOKUP(B340,'Loan Master'!A5:S52,2,FALSE()),"")</f>
        <v/>
      </c>
      <c r="D340" s="37"/>
      <c r="E340" s="61"/>
      <c r="F340" s="77" t="str">
        <f>IFERROR(VLOOKUP(B340,'Loan Master'!A5:S52,17,FALSE()),"")</f>
        <v/>
      </c>
      <c r="G340" s="39"/>
      <c r="H340" s="61"/>
      <c r="I340" s="37"/>
      <c r="J340" s="42" t="str">
        <f t="shared" si="12"/>
        <v/>
      </c>
      <c r="K340" s="44" t="str">
        <f t="shared" si="13"/>
        <v/>
      </c>
      <c r="L340" s="81"/>
    </row>
    <row r="341" ht="15.0" customHeight="1">
      <c r="A341" s="83" t="str">
        <f t="shared" si="1"/>
        <v/>
      </c>
      <c r="B341" s="99"/>
      <c r="C341" s="85" t="str">
        <f>IFERROR(VLOOKUP(B341,'Loan Master'!A5:S52,2,FALSE()),"")</f>
        <v/>
      </c>
      <c r="D341" s="99"/>
      <c r="E341" s="87"/>
      <c r="F341" s="88" t="str">
        <f>IFERROR(VLOOKUP(B341,'Loan Master'!A5:S52,17,FALSE()),"")</f>
        <v/>
      </c>
      <c r="G341" s="89"/>
      <c r="H341" s="87"/>
      <c r="I341" s="99"/>
      <c r="J341" s="102" t="str">
        <f t="shared" si="12"/>
        <v/>
      </c>
      <c r="K341" s="100" t="str">
        <f t="shared" si="13"/>
        <v/>
      </c>
      <c r="L341" s="92"/>
    </row>
    <row r="342" ht="15.0" customHeight="1">
      <c r="A342" s="36" t="str">
        <f t="shared" si="1"/>
        <v/>
      </c>
      <c r="B342" s="37"/>
      <c r="C342" s="75" t="str">
        <f>IFERROR(VLOOKUP(B342,'Loan Master'!A5:S52,2,FALSE()),"")</f>
        <v/>
      </c>
      <c r="D342" s="37"/>
      <c r="E342" s="61"/>
      <c r="F342" s="77" t="str">
        <f>IFERROR(VLOOKUP(B342,'Loan Master'!A5:S52,17,FALSE()),"")</f>
        <v/>
      </c>
      <c r="G342" s="39"/>
      <c r="H342" s="61"/>
      <c r="I342" s="37"/>
      <c r="J342" s="42" t="str">
        <f t="shared" si="12"/>
        <v/>
      </c>
      <c r="K342" s="44" t="str">
        <f t="shared" si="13"/>
        <v/>
      </c>
      <c r="L342" s="81"/>
    </row>
    <row r="343" ht="15.0" customHeight="1">
      <c r="A343" s="83" t="str">
        <f t="shared" si="1"/>
        <v/>
      </c>
      <c r="B343" s="99"/>
      <c r="C343" s="85" t="str">
        <f>IFERROR(VLOOKUP(B343,'Loan Master'!A5:S52,2,FALSE()),"")</f>
        <v/>
      </c>
      <c r="D343" s="99"/>
      <c r="E343" s="87"/>
      <c r="F343" s="88" t="str">
        <f>IFERROR(VLOOKUP(B343,'Loan Master'!A5:S52,17,FALSE()),"")</f>
        <v/>
      </c>
      <c r="G343" s="89"/>
      <c r="H343" s="87"/>
      <c r="I343" s="99"/>
      <c r="J343" s="102" t="str">
        <f t="shared" si="12"/>
        <v/>
      </c>
      <c r="K343" s="100" t="str">
        <f t="shared" si="13"/>
        <v/>
      </c>
      <c r="L343" s="92"/>
    </row>
    <row r="344" ht="15.0" customHeight="1">
      <c r="A344" s="36" t="str">
        <f t="shared" si="1"/>
        <v/>
      </c>
      <c r="B344" s="37"/>
      <c r="C344" s="75" t="str">
        <f>IFERROR(VLOOKUP(B344,'Loan Master'!A5:S52,2,FALSE()),"")</f>
        <v/>
      </c>
      <c r="D344" s="37"/>
      <c r="E344" s="61"/>
      <c r="F344" s="77" t="str">
        <f>IFERROR(VLOOKUP(B344,'Loan Master'!A5:S52,17,FALSE()),"")</f>
        <v/>
      </c>
      <c r="G344" s="39"/>
      <c r="H344" s="61"/>
      <c r="I344" s="37"/>
      <c r="J344" s="42" t="str">
        <f t="shared" si="12"/>
        <v/>
      </c>
      <c r="K344" s="44" t="str">
        <f t="shared" si="13"/>
        <v/>
      </c>
      <c r="L344" s="81"/>
    </row>
    <row r="345" ht="15.0" customHeight="1">
      <c r="A345" s="83" t="str">
        <f t="shared" si="1"/>
        <v/>
      </c>
      <c r="B345" s="99"/>
      <c r="C345" s="85" t="str">
        <f>IFERROR(VLOOKUP(B345,'Loan Master'!A5:S52,2,FALSE()),"")</f>
        <v/>
      </c>
      <c r="D345" s="99"/>
      <c r="E345" s="87"/>
      <c r="F345" s="88" t="str">
        <f>IFERROR(VLOOKUP(B345,'Loan Master'!A5:S52,17,FALSE()),"")</f>
        <v/>
      </c>
      <c r="G345" s="89"/>
      <c r="H345" s="87"/>
      <c r="I345" s="99"/>
      <c r="J345" s="102" t="str">
        <f t="shared" si="12"/>
        <v/>
      </c>
      <c r="K345" s="100" t="str">
        <f t="shared" si="13"/>
        <v/>
      </c>
      <c r="L345" s="92"/>
    </row>
    <row r="346" ht="15.0" customHeight="1">
      <c r="A346" s="36" t="str">
        <f t="shared" si="1"/>
        <v/>
      </c>
      <c r="B346" s="37"/>
      <c r="C346" s="75" t="str">
        <f>IFERROR(VLOOKUP(B346,'Loan Master'!A5:S52,2,FALSE()),"")</f>
        <v/>
      </c>
      <c r="D346" s="37"/>
      <c r="E346" s="61"/>
      <c r="F346" s="77" t="str">
        <f>IFERROR(VLOOKUP(B346,'Loan Master'!A5:S52,17,FALSE()),"")</f>
        <v/>
      </c>
      <c r="G346" s="39"/>
      <c r="H346" s="61"/>
      <c r="I346" s="37"/>
      <c r="J346" s="42" t="str">
        <f t="shared" si="12"/>
        <v/>
      </c>
      <c r="K346" s="44" t="str">
        <f t="shared" si="13"/>
        <v/>
      </c>
      <c r="L346" s="81"/>
    </row>
    <row r="347" ht="15.0" customHeight="1">
      <c r="A347" s="83" t="str">
        <f t="shared" si="1"/>
        <v/>
      </c>
      <c r="B347" s="99"/>
      <c r="C347" s="85" t="str">
        <f>IFERROR(VLOOKUP(B347,'Loan Master'!A5:S52,2,FALSE()),"")</f>
        <v/>
      </c>
      <c r="D347" s="99"/>
      <c r="E347" s="87"/>
      <c r="F347" s="88" t="str">
        <f>IFERROR(VLOOKUP(B347,'Loan Master'!A5:S52,17,FALSE()),"")</f>
        <v/>
      </c>
      <c r="G347" s="89"/>
      <c r="H347" s="87"/>
      <c r="I347" s="99"/>
      <c r="J347" s="102" t="str">
        <f t="shared" si="12"/>
        <v/>
      </c>
      <c r="K347" s="100" t="str">
        <f t="shared" si="13"/>
        <v/>
      </c>
      <c r="L347" s="92"/>
    </row>
    <row r="348" ht="15.0" customHeight="1">
      <c r="A348" s="36" t="str">
        <f t="shared" si="1"/>
        <v/>
      </c>
      <c r="B348" s="37"/>
      <c r="C348" s="75" t="str">
        <f>IFERROR(VLOOKUP(B348,'Loan Master'!A5:S52,2,FALSE()),"")</f>
        <v/>
      </c>
      <c r="D348" s="37"/>
      <c r="E348" s="61"/>
      <c r="F348" s="77" t="str">
        <f>IFERROR(VLOOKUP(B348,'Loan Master'!A5:S52,17,FALSE()),"")</f>
        <v/>
      </c>
      <c r="G348" s="39"/>
      <c r="H348" s="61"/>
      <c r="I348" s="37"/>
      <c r="J348" s="42" t="str">
        <f t="shared" si="12"/>
        <v/>
      </c>
      <c r="K348" s="44" t="str">
        <f t="shared" si="13"/>
        <v/>
      </c>
      <c r="L348" s="81"/>
    </row>
    <row r="349" ht="15.0" customHeight="1">
      <c r="A349" s="83" t="str">
        <f t="shared" si="1"/>
        <v/>
      </c>
      <c r="B349" s="99"/>
      <c r="C349" s="85" t="str">
        <f>IFERROR(VLOOKUP(B349,'Loan Master'!A5:S52,2,FALSE()),"")</f>
        <v/>
      </c>
      <c r="D349" s="99"/>
      <c r="E349" s="87"/>
      <c r="F349" s="88" t="str">
        <f>IFERROR(VLOOKUP(B349,'Loan Master'!A5:S52,17,FALSE()),"")</f>
        <v/>
      </c>
      <c r="G349" s="89"/>
      <c r="H349" s="87"/>
      <c r="I349" s="99"/>
      <c r="J349" s="102" t="str">
        <f t="shared" si="12"/>
        <v/>
      </c>
      <c r="K349" s="100" t="str">
        <f t="shared" si="13"/>
        <v/>
      </c>
      <c r="L349" s="92"/>
    </row>
    <row r="350" ht="15.0" customHeight="1">
      <c r="A350" s="36" t="str">
        <f t="shared" si="1"/>
        <v/>
      </c>
      <c r="B350" s="37"/>
      <c r="C350" s="75" t="str">
        <f>IFERROR(VLOOKUP(B350,'Loan Master'!A5:S52,2,FALSE()),"")</f>
        <v/>
      </c>
      <c r="D350" s="37"/>
      <c r="E350" s="61"/>
      <c r="F350" s="77" t="str">
        <f>IFERROR(VLOOKUP(B350,'Loan Master'!A5:S52,17,FALSE()),"")</f>
        <v/>
      </c>
      <c r="G350" s="39"/>
      <c r="H350" s="61"/>
      <c r="I350" s="37"/>
      <c r="J350" s="42" t="str">
        <f t="shared" si="12"/>
        <v/>
      </c>
      <c r="K350" s="44" t="str">
        <f t="shared" si="13"/>
        <v/>
      </c>
      <c r="L350" s="81"/>
    </row>
    <row r="351" ht="15.0" customHeight="1">
      <c r="A351" s="83" t="str">
        <f t="shared" si="1"/>
        <v/>
      </c>
      <c r="B351" s="99"/>
      <c r="C351" s="85" t="str">
        <f>IFERROR(VLOOKUP(B351,'Loan Master'!A5:S52,2,FALSE()),"")</f>
        <v/>
      </c>
      <c r="D351" s="99"/>
      <c r="E351" s="87"/>
      <c r="F351" s="88" t="str">
        <f>IFERROR(VLOOKUP(B351,'Loan Master'!A5:S52,17,FALSE()),"")</f>
        <v/>
      </c>
      <c r="G351" s="89"/>
      <c r="H351" s="87"/>
      <c r="I351" s="99"/>
      <c r="J351" s="102" t="str">
        <f t="shared" si="12"/>
        <v/>
      </c>
      <c r="K351" s="100" t="str">
        <f t="shared" si="13"/>
        <v/>
      </c>
      <c r="L351" s="92"/>
    </row>
    <row r="352" ht="15.0" customHeight="1">
      <c r="A352" s="36" t="str">
        <f t="shared" si="1"/>
        <v/>
      </c>
      <c r="B352" s="37"/>
      <c r="C352" s="75" t="str">
        <f>IFERROR(VLOOKUP(B352,'Loan Master'!A5:S52,2,FALSE()),"")</f>
        <v/>
      </c>
      <c r="D352" s="37"/>
      <c r="E352" s="61"/>
      <c r="F352" s="77" t="str">
        <f>IFERROR(VLOOKUP(B352,'Loan Master'!A5:S52,17,FALSE()),"")</f>
        <v/>
      </c>
      <c r="G352" s="39"/>
      <c r="H352" s="61"/>
      <c r="I352" s="37"/>
      <c r="J352" s="42" t="str">
        <f t="shared" si="12"/>
        <v/>
      </c>
      <c r="K352" s="44" t="str">
        <f t="shared" si="13"/>
        <v/>
      </c>
      <c r="L352" s="81"/>
    </row>
    <row r="353" ht="15.0" customHeight="1">
      <c r="A353" s="83" t="str">
        <f t="shared" si="1"/>
        <v/>
      </c>
      <c r="B353" s="99"/>
      <c r="C353" s="85" t="str">
        <f>IFERROR(VLOOKUP(B353,'Loan Master'!A5:S52,2,FALSE()),"")</f>
        <v/>
      </c>
      <c r="D353" s="99"/>
      <c r="E353" s="87"/>
      <c r="F353" s="88" t="str">
        <f>IFERROR(VLOOKUP(B353,'Loan Master'!A5:S52,17,FALSE()),"")</f>
        <v/>
      </c>
      <c r="G353" s="89"/>
      <c r="H353" s="87"/>
      <c r="I353" s="99"/>
      <c r="J353" s="102" t="str">
        <f t="shared" si="12"/>
        <v/>
      </c>
      <c r="K353" s="100" t="str">
        <f t="shared" si="13"/>
        <v/>
      </c>
      <c r="L353" s="92"/>
    </row>
    <row r="354" ht="15.0" customHeight="1">
      <c r="A354" s="36" t="str">
        <f t="shared" si="1"/>
        <v/>
      </c>
      <c r="B354" s="37"/>
      <c r="C354" s="75" t="str">
        <f>IFERROR(VLOOKUP(B354,'Loan Master'!A5:S52,2,FALSE()),"")</f>
        <v/>
      </c>
      <c r="D354" s="37"/>
      <c r="E354" s="61"/>
      <c r="F354" s="77" t="str">
        <f>IFERROR(VLOOKUP(B354,'Loan Master'!A5:S52,17,FALSE()),"")</f>
        <v/>
      </c>
      <c r="G354" s="39"/>
      <c r="H354" s="61"/>
      <c r="I354" s="37"/>
      <c r="J354" s="42" t="str">
        <f t="shared" si="12"/>
        <v/>
      </c>
      <c r="K354" s="44" t="str">
        <f t="shared" si="13"/>
        <v/>
      </c>
      <c r="L354" s="81"/>
    </row>
    <row r="355" ht="15.0" customHeight="1">
      <c r="A355" s="83" t="str">
        <f t="shared" si="1"/>
        <v/>
      </c>
      <c r="B355" s="99"/>
      <c r="C355" s="85" t="str">
        <f>IFERROR(VLOOKUP(B355,'Loan Master'!A5:S52,2,FALSE()),"")</f>
        <v/>
      </c>
      <c r="D355" s="99"/>
      <c r="E355" s="87"/>
      <c r="F355" s="88" t="str">
        <f>IFERROR(VLOOKUP(B355,'Loan Master'!A5:S52,17,FALSE()),"")</f>
        <v/>
      </c>
      <c r="G355" s="89"/>
      <c r="H355" s="87"/>
      <c r="I355" s="99"/>
      <c r="J355" s="102" t="str">
        <f t="shared" si="12"/>
        <v/>
      </c>
      <c r="K355" s="100" t="str">
        <f t="shared" si="13"/>
        <v/>
      </c>
      <c r="L355" s="92"/>
    </row>
    <row r="356" ht="15.0" customHeight="1">
      <c r="A356" s="36" t="str">
        <f t="shared" si="1"/>
        <v/>
      </c>
      <c r="B356" s="37"/>
      <c r="C356" s="75" t="str">
        <f>IFERROR(VLOOKUP(B356,'Loan Master'!A5:S52,2,FALSE()),"")</f>
        <v/>
      </c>
      <c r="D356" s="37"/>
      <c r="E356" s="61"/>
      <c r="F356" s="77" t="str">
        <f>IFERROR(VLOOKUP(B356,'Loan Master'!A5:S52,17,FALSE()),"")</f>
        <v/>
      </c>
      <c r="G356" s="39"/>
      <c r="H356" s="61"/>
      <c r="I356" s="37"/>
      <c r="J356" s="42" t="str">
        <f t="shared" si="12"/>
        <v/>
      </c>
      <c r="K356" s="44" t="str">
        <f t="shared" si="13"/>
        <v/>
      </c>
      <c r="L356" s="81"/>
    </row>
    <row r="357" ht="15.0" customHeight="1">
      <c r="A357" s="83" t="str">
        <f t="shared" si="1"/>
        <v/>
      </c>
      <c r="B357" s="99"/>
      <c r="C357" s="85" t="str">
        <f>IFERROR(VLOOKUP(B357,'Loan Master'!A5:S52,2,FALSE()),"")</f>
        <v/>
      </c>
      <c r="D357" s="99"/>
      <c r="E357" s="87"/>
      <c r="F357" s="88" t="str">
        <f>IFERROR(VLOOKUP(B357,'Loan Master'!A5:S52,17,FALSE()),"")</f>
        <v/>
      </c>
      <c r="G357" s="89"/>
      <c r="H357" s="87"/>
      <c r="I357" s="99"/>
      <c r="J357" s="102" t="str">
        <f t="shared" si="12"/>
        <v/>
      </c>
      <c r="K357" s="100" t="str">
        <f t="shared" si="13"/>
        <v/>
      </c>
      <c r="L357" s="92"/>
    </row>
    <row r="358" ht="15.0" customHeight="1">
      <c r="A358" s="36" t="str">
        <f t="shared" si="1"/>
        <v/>
      </c>
      <c r="B358" s="37"/>
      <c r="C358" s="75" t="str">
        <f>IFERROR(VLOOKUP(B358,'Loan Master'!A5:S52,2,FALSE()),"")</f>
        <v/>
      </c>
      <c r="D358" s="37"/>
      <c r="E358" s="61"/>
      <c r="F358" s="77" t="str">
        <f>IFERROR(VLOOKUP(B358,'Loan Master'!A5:S52,17,FALSE()),"")</f>
        <v/>
      </c>
      <c r="G358" s="39"/>
      <c r="H358" s="61"/>
      <c r="I358" s="37"/>
      <c r="J358" s="42" t="str">
        <f t="shared" si="12"/>
        <v/>
      </c>
      <c r="K358" s="44" t="str">
        <f t="shared" si="13"/>
        <v/>
      </c>
      <c r="L358" s="81"/>
    </row>
    <row r="359" ht="15.0" customHeight="1">
      <c r="A359" s="83" t="str">
        <f t="shared" si="1"/>
        <v/>
      </c>
      <c r="B359" s="99"/>
      <c r="C359" s="85" t="str">
        <f>IFERROR(VLOOKUP(B359,'Loan Master'!A5:S52,2,FALSE()),"")</f>
        <v/>
      </c>
      <c r="D359" s="99"/>
      <c r="E359" s="87"/>
      <c r="F359" s="88" t="str">
        <f>IFERROR(VLOOKUP(B359,'Loan Master'!A5:S52,17,FALSE()),"")</f>
        <v/>
      </c>
      <c r="G359" s="89"/>
      <c r="H359" s="87"/>
      <c r="I359" s="99"/>
      <c r="J359" s="102" t="str">
        <f t="shared" si="12"/>
        <v/>
      </c>
      <c r="K359" s="100" t="str">
        <f t="shared" si="13"/>
        <v/>
      </c>
      <c r="L359" s="92"/>
    </row>
    <row r="360" ht="15.0" customHeight="1">
      <c r="A360" s="36" t="str">
        <f t="shared" si="1"/>
        <v/>
      </c>
      <c r="B360" s="37"/>
      <c r="C360" s="75" t="str">
        <f>IFERROR(VLOOKUP(B360,'Loan Master'!A5:S52,2,FALSE()),"")</f>
        <v/>
      </c>
      <c r="D360" s="37"/>
      <c r="E360" s="61"/>
      <c r="F360" s="77" t="str">
        <f>IFERROR(VLOOKUP(B360,'Loan Master'!A5:S52,17,FALSE()),"")</f>
        <v/>
      </c>
      <c r="G360" s="39"/>
      <c r="H360" s="61"/>
      <c r="I360" s="37"/>
      <c r="J360" s="42" t="str">
        <f t="shared" si="12"/>
        <v/>
      </c>
      <c r="K360" s="44" t="str">
        <f t="shared" si="13"/>
        <v/>
      </c>
      <c r="L360" s="81"/>
    </row>
    <row r="361" ht="15.0" customHeight="1">
      <c r="A361" s="83" t="str">
        <f t="shared" si="1"/>
        <v/>
      </c>
      <c r="B361" s="99"/>
      <c r="C361" s="85" t="str">
        <f>IFERROR(VLOOKUP(B361,'Loan Master'!A5:S52,2,FALSE()),"")</f>
        <v/>
      </c>
      <c r="D361" s="99"/>
      <c r="E361" s="87"/>
      <c r="F361" s="88" t="str">
        <f>IFERROR(VLOOKUP(B361,'Loan Master'!A5:S52,17,FALSE()),"")</f>
        <v/>
      </c>
      <c r="G361" s="89"/>
      <c r="H361" s="87"/>
      <c r="I361" s="99"/>
      <c r="J361" s="102" t="str">
        <f t="shared" si="12"/>
        <v/>
      </c>
      <c r="K361" s="100" t="str">
        <f t="shared" si="13"/>
        <v/>
      </c>
      <c r="L361" s="92"/>
    </row>
    <row r="362" ht="15.0" customHeight="1">
      <c r="A362" s="36" t="str">
        <f t="shared" si="1"/>
        <v/>
      </c>
      <c r="B362" s="37"/>
      <c r="C362" s="75" t="str">
        <f>IFERROR(VLOOKUP(B362,'Loan Master'!A5:S52,2,FALSE()),"")</f>
        <v/>
      </c>
      <c r="D362" s="37"/>
      <c r="E362" s="61"/>
      <c r="F362" s="77" t="str">
        <f>IFERROR(VLOOKUP(B362,'Loan Master'!A5:S52,17,FALSE()),"")</f>
        <v/>
      </c>
      <c r="G362" s="39"/>
      <c r="H362" s="61"/>
      <c r="I362" s="37"/>
      <c r="J362" s="42" t="str">
        <f t="shared" si="12"/>
        <v/>
      </c>
      <c r="K362" s="44" t="str">
        <f t="shared" si="13"/>
        <v/>
      </c>
      <c r="L362" s="81"/>
    </row>
    <row r="363" ht="15.0" customHeight="1">
      <c r="A363" s="83" t="str">
        <f t="shared" si="1"/>
        <v/>
      </c>
      <c r="B363" s="99"/>
      <c r="C363" s="85" t="str">
        <f>IFERROR(VLOOKUP(B363,'Loan Master'!A5:S52,2,FALSE()),"")</f>
        <v/>
      </c>
      <c r="D363" s="99"/>
      <c r="E363" s="87"/>
      <c r="F363" s="88" t="str">
        <f>IFERROR(VLOOKUP(B363,'Loan Master'!A5:S52,17,FALSE()),"")</f>
        <v/>
      </c>
      <c r="G363" s="89"/>
      <c r="H363" s="87"/>
      <c r="I363" s="99"/>
      <c r="J363" s="102" t="str">
        <f t="shared" si="12"/>
        <v/>
      </c>
      <c r="K363" s="100" t="str">
        <f t="shared" si="13"/>
        <v/>
      </c>
      <c r="L363" s="92"/>
    </row>
    <row r="364" ht="15.0" customHeight="1">
      <c r="A364" s="36" t="str">
        <f t="shared" si="1"/>
        <v/>
      </c>
      <c r="B364" s="37"/>
      <c r="C364" s="75" t="str">
        <f>IFERROR(VLOOKUP(B364,'Loan Master'!A5:S52,2,FALSE()),"")</f>
        <v/>
      </c>
      <c r="D364" s="37"/>
      <c r="E364" s="61"/>
      <c r="F364" s="77" t="str">
        <f>IFERROR(VLOOKUP(B364,'Loan Master'!A5:S52,17,FALSE()),"")</f>
        <v/>
      </c>
      <c r="G364" s="39"/>
      <c r="H364" s="61"/>
      <c r="I364" s="37"/>
      <c r="J364" s="42" t="str">
        <f t="shared" si="12"/>
        <v/>
      </c>
      <c r="K364" s="44" t="str">
        <f t="shared" si="13"/>
        <v/>
      </c>
      <c r="L364" s="81"/>
    </row>
    <row r="365" ht="15.0" customHeight="1">
      <c r="A365" s="83" t="str">
        <f t="shared" si="1"/>
        <v/>
      </c>
      <c r="B365" s="99"/>
      <c r="C365" s="85" t="str">
        <f>IFERROR(VLOOKUP(B365,'Loan Master'!A5:S52,2,FALSE()),"")</f>
        <v/>
      </c>
      <c r="D365" s="99"/>
      <c r="E365" s="87"/>
      <c r="F365" s="88" t="str">
        <f>IFERROR(VLOOKUP(B365,'Loan Master'!A5:S52,17,FALSE()),"")</f>
        <v/>
      </c>
      <c r="G365" s="89"/>
      <c r="H365" s="87"/>
      <c r="I365" s="99"/>
      <c r="J365" s="102" t="str">
        <f t="shared" si="12"/>
        <v/>
      </c>
      <c r="K365" s="100" t="str">
        <f t="shared" si="13"/>
        <v/>
      </c>
      <c r="L365" s="92"/>
    </row>
    <row r="366" ht="15.0" customHeight="1">
      <c r="A366" s="36" t="str">
        <f t="shared" si="1"/>
        <v/>
      </c>
      <c r="B366" s="37"/>
      <c r="C366" s="75" t="str">
        <f>IFERROR(VLOOKUP(B366,'Loan Master'!A5:S52,2,FALSE()),"")</f>
        <v/>
      </c>
      <c r="D366" s="37"/>
      <c r="E366" s="61"/>
      <c r="F366" s="77" t="str">
        <f>IFERROR(VLOOKUP(B366,'Loan Master'!A5:S52,17,FALSE()),"")</f>
        <v/>
      </c>
      <c r="G366" s="39"/>
      <c r="H366" s="61"/>
      <c r="I366" s="37"/>
      <c r="J366" s="42" t="str">
        <f t="shared" si="12"/>
        <v/>
      </c>
      <c r="K366" s="44" t="str">
        <f t="shared" si="13"/>
        <v/>
      </c>
      <c r="L366" s="81"/>
    </row>
    <row r="367" ht="15.0" customHeight="1">
      <c r="A367" s="83" t="str">
        <f t="shared" si="1"/>
        <v/>
      </c>
      <c r="B367" s="99"/>
      <c r="C367" s="85" t="str">
        <f>IFERROR(VLOOKUP(B367,'Loan Master'!A5:S52,2,FALSE()),"")</f>
        <v/>
      </c>
      <c r="D367" s="99"/>
      <c r="E367" s="87"/>
      <c r="F367" s="88" t="str">
        <f>IFERROR(VLOOKUP(B367,'Loan Master'!A5:S52,17,FALSE()),"")</f>
        <v/>
      </c>
      <c r="G367" s="89"/>
      <c r="H367" s="87"/>
      <c r="I367" s="99"/>
      <c r="J367" s="102" t="str">
        <f t="shared" si="12"/>
        <v/>
      </c>
      <c r="K367" s="100" t="str">
        <f t="shared" si="13"/>
        <v/>
      </c>
      <c r="L367" s="92"/>
    </row>
    <row r="368" ht="15.0" customHeight="1">
      <c r="A368" s="36" t="str">
        <f t="shared" si="1"/>
        <v/>
      </c>
      <c r="B368" s="37"/>
      <c r="C368" s="75" t="str">
        <f>IFERROR(VLOOKUP(B368,'Loan Master'!A5:S52,2,FALSE()),"")</f>
        <v/>
      </c>
      <c r="D368" s="37"/>
      <c r="E368" s="61"/>
      <c r="F368" s="77" t="str">
        <f>IFERROR(VLOOKUP(B368,'Loan Master'!A5:S52,17,FALSE()),"")</f>
        <v/>
      </c>
      <c r="G368" s="39"/>
      <c r="H368" s="61"/>
      <c r="I368" s="37"/>
      <c r="J368" s="42" t="str">
        <f t="shared" si="12"/>
        <v/>
      </c>
      <c r="K368" s="44" t="str">
        <f t="shared" si="13"/>
        <v/>
      </c>
      <c r="L368" s="81"/>
    </row>
    <row r="369" ht="15.0" customHeight="1">
      <c r="A369" s="83" t="str">
        <f t="shared" si="1"/>
        <v/>
      </c>
      <c r="B369" s="99"/>
      <c r="C369" s="85" t="str">
        <f>IFERROR(VLOOKUP(B369,'Loan Master'!A5:S52,2,FALSE()),"")</f>
        <v/>
      </c>
      <c r="D369" s="99"/>
      <c r="E369" s="87"/>
      <c r="F369" s="88" t="str">
        <f>IFERROR(VLOOKUP(B369,'Loan Master'!A5:S52,17,FALSE()),"")</f>
        <v/>
      </c>
      <c r="G369" s="89"/>
      <c r="H369" s="87"/>
      <c r="I369" s="99"/>
      <c r="J369" s="102" t="str">
        <f t="shared" si="12"/>
        <v/>
      </c>
      <c r="K369" s="100" t="str">
        <f t="shared" si="13"/>
        <v/>
      </c>
      <c r="L369" s="92"/>
    </row>
    <row r="370" ht="15.0" customHeight="1">
      <c r="A370" s="36" t="str">
        <f t="shared" si="1"/>
        <v/>
      </c>
      <c r="B370" s="37"/>
      <c r="C370" s="75" t="str">
        <f>IFERROR(VLOOKUP(B370,'Loan Master'!A5:S52,2,FALSE()),"")</f>
        <v/>
      </c>
      <c r="D370" s="37"/>
      <c r="E370" s="61"/>
      <c r="F370" s="77" t="str">
        <f>IFERROR(VLOOKUP(B370,'Loan Master'!A5:S52,17,FALSE()),"")</f>
        <v/>
      </c>
      <c r="G370" s="39"/>
      <c r="H370" s="61"/>
      <c r="I370" s="37"/>
      <c r="J370" s="42" t="str">
        <f t="shared" si="12"/>
        <v/>
      </c>
      <c r="K370" s="44" t="str">
        <f t="shared" si="13"/>
        <v/>
      </c>
      <c r="L370" s="81"/>
    </row>
    <row r="371" ht="15.0" customHeight="1">
      <c r="A371" s="83" t="str">
        <f t="shared" si="1"/>
        <v/>
      </c>
      <c r="B371" s="99"/>
      <c r="C371" s="85" t="str">
        <f>IFERROR(VLOOKUP(B371,'Loan Master'!A5:S52,2,FALSE()),"")</f>
        <v/>
      </c>
      <c r="D371" s="99"/>
      <c r="E371" s="87"/>
      <c r="F371" s="88" t="str">
        <f>IFERROR(VLOOKUP(B371,'Loan Master'!A5:S52,17,FALSE()),"")</f>
        <v/>
      </c>
      <c r="G371" s="89"/>
      <c r="H371" s="87"/>
      <c r="I371" s="99"/>
      <c r="J371" s="102" t="str">
        <f t="shared" si="12"/>
        <v/>
      </c>
      <c r="K371" s="100" t="str">
        <f t="shared" si="13"/>
        <v/>
      </c>
      <c r="L371" s="92"/>
    </row>
    <row r="372" ht="15.0" customHeight="1">
      <c r="A372" s="36" t="str">
        <f t="shared" si="1"/>
        <v/>
      </c>
      <c r="B372" s="37"/>
      <c r="C372" s="75" t="str">
        <f>IFERROR(VLOOKUP(B372,'Loan Master'!A5:S52,2,FALSE()),"")</f>
        <v/>
      </c>
      <c r="D372" s="37"/>
      <c r="E372" s="61"/>
      <c r="F372" s="77" t="str">
        <f>IFERROR(VLOOKUP(B372,'Loan Master'!A5:S52,17,FALSE()),"")</f>
        <v/>
      </c>
      <c r="G372" s="39"/>
      <c r="H372" s="61"/>
      <c r="I372" s="37"/>
      <c r="J372" s="42" t="str">
        <f t="shared" si="12"/>
        <v/>
      </c>
      <c r="K372" s="44" t="str">
        <f t="shared" si="13"/>
        <v/>
      </c>
      <c r="L372" s="81"/>
    </row>
    <row r="373" ht="15.0" customHeight="1">
      <c r="A373" s="83" t="str">
        <f t="shared" si="1"/>
        <v/>
      </c>
      <c r="B373" s="99"/>
      <c r="C373" s="85" t="str">
        <f>IFERROR(VLOOKUP(B373,'Loan Master'!A5:S52,2,FALSE()),"")</f>
        <v/>
      </c>
      <c r="D373" s="99"/>
      <c r="E373" s="87"/>
      <c r="F373" s="88" t="str">
        <f>IFERROR(VLOOKUP(B373,'Loan Master'!A5:S52,17,FALSE()),"")</f>
        <v/>
      </c>
      <c r="G373" s="89"/>
      <c r="H373" s="87"/>
      <c r="I373" s="99"/>
      <c r="J373" s="102" t="str">
        <f t="shared" si="12"/>
        <v/>
      </c>
      <c r="K373" s="100" t="str">
        <f t="shared" si="13"/>
        <v/>
      </c>
      <c r="L373" s="92"/>
    </row>
    <row r="374" ht="15.0" customHeight="1">
      <c r="A374" s="36" t="str">
        <f t="shared" si="1"/>
        <v/>
      </c>
      <c r="B374" s="37"/>
      <c r="C374" s="75" t="str">
        <f>IFERROR(VLOOKUP(B374,'Loan Master'!A5:S52,2,FALSE()),"")</f>
        <v/>
      </c>
      <c r="D374" s="37"/>
      <c r="E374" s="61"/>
      <c r="F374" s="77" t="str">
        <f>IFERROR(VLOOKUP(B374,'Loan Master'!A5:S52,17,FALSE()),"")</f>
        <v/>
      </c>
      <c r="G374" s="39"/>
      <c r="H374" s="61"/>
      <c r="I374" s="37"/>
      <c r="J374" s="42" t="str">
        <f t="shared" si="12"/>
        <v/>
      </c>
      <c r="K374" s="44" t="str">
        <f t="shared" si="13"/>
        <v/>
      </c>
      <c r="L374" s="81"/>
    </row>
    <row r="375" ht="15.0" customHeight="1">
      <c r="A375" s="83" t="str">
        <f t="shared" si="1"/>
        <v/>
      </c>
      <c r="B375" s="99"/>
      <c r="C375" s="85" t="str">
        <f>IFERROR(VLOOKUP(B375,'Loan Master'!A5:S52,2,FALSE()),"")</f>
        <v/>
      </c>
      <c r="D375" s="99"/>
      <c r="E375" s="87"/>
      <c r="F375" s="88" t="str">
        <f>IFERROR(VLOOKUP(B375,'Loan Master'!A5:S52,17,FALSE()),"")</f>
        <v/>
      </c>
      <c r="G375" s="89"/>
      <c r="H375" s="87"/>
      <c r="I375" s="99"/>
      <c r="J375" s="102" t="str">
        <f t="shared" si="12"/>
        <v/>
      </c>
      <c r="K375" s="100" t="str">
        <f t="shared" si="13"/>
        <v/>
      </c>
      <c r="L375" s="92"/>
    </row>
    <row r="376" ht="15.0" customHeight="1">
      <c r="A376" s="36" t="str">
        <f t="shared" si="1"/>
        <v/>
      </c>
      <c r="B376" s="37"/>
      <c r="C376" s="75" t="str">
        <f>IFERROR(VLOOKUP(B376,'Loan Master'!A5:S52,2,FALSE()),"")</f>
        <v/>
      </c>
      <c r="D376" s="37"/>
      <c r="E376" s="61"/>
      <c r="F376" s="77" t="str">
        <f>IFERROR(VLOOKUP(B376,'Loan Master'!A5:S52,17,FALSE()),"")</f>
        <v/>
      </c>
      <c r="G376" s="39"/>
      <c r="H376" s="61"/>
      <c r="I376" s="37"/>
      <c r="J376" s="42" t="str">
        <f t="shared" si="12"/>
        <v/>
      </c>
      <c r="K376" s="44" t="str">
        <f t="shared" si="13"/>
        <v/>
      </c>
      <c r="L376" s="81"/>
    </row>
    <row r="377" ht="15.0" customHeight="1">
      <c r="A377" s="83" t="str">
        <f t="shared" si="1"/>
        <v/>
      </c>
      <c r="B377" s="99"/>
      <c r="C377" s="85" t="str">
        <f>IFERROR(VLOOKUP(B377,'Loan Master'!A5:S52,2,FALSE()),"")</f>
        <v/>
      </c>
      <c r="D377" s="99"/>
      <c r="E377" s="87"/>
      <c r="F377" s="88" t="str">
        <f>IFERROR(VLOOKUP(B377,'Loan Master'!A5:S52,17,FALSE()),"")</f>
        <v/>
      </c>
      <c r="G377" s="89"/>
      <c r="H377" s="87"/>
      <c r="I377" s="99"/>
      <c r="J377" s="102" t="str">
        <f t="shared" si="12"/>
        <v/>
      </c>
      <c r="K377" s="100" t="str">
        <f t="shared" si="13"/>
        <v/>
      </c>
      <c r="L377" s="92"/>
    </row>
    <row r="378" ht="15.0" customHeight="1">
      <c r="A378" s="36" t="str">
        <f t="shared" si="1"/>
        <v/>
      </c>
      <c r="B378" s="37"/>
      <c r="C378" s="75" t="str">
        <f>IFERROR(VLOOKUP(B378,'Loan Master'!A5:S52,2,FALSE()),"")</f>
        <v/>
      </c>
      <c r="D378" s="37"/>
      <c r="E378" s="61"/>
      <c r="F378" s="77" t="str">
        <f>IFERROR(VLOOKUP(B378,'Loan Master'!A5:S52,17,FALSE()),"")</f>
        <v/>
      </c>
      <c r="G378" s="39"/>
      <c r="H378" s="61"/>
      <c r="I378" s="37"/>
      <c r="J378" s="42" t="str">
        <f t="shared" si="12"/>
        <v/>
      </c>
      <c r="K378" s="44" t="str">
        <f t="shared" si="13"/>
        <v/>
      </c>
      <c r="L378" s="81"/>
    </row>
    <row r="379" ht="15.0" customHeight="1">
      <c r="A379" s="83" t="str">
        <f t="shared" si="1"/>
        <v/>
      </c>
      <c r="B379" s="99"/>
      <c r="C379" s="85" t="str">
        <f>IFERROR(VLOOKUP(B379,'Loan Master'!A5:S52,2,FALSE()),"")</f>
        <v/>
      </c>
      <c r="D379" s="99"/>
      <c r="E379" s="87"/>
      <c r="F379" s="88" t="str">
        <f>IFERROR(VLOOKUP(B379,'Loan Master'!A5:S52,17,FALSE()),"")</f>
        <v/>
      </c>
      <c r="G379" s="89"/>
      <c r="H379" s="87"/>
      <c r="I379" s="99"/>
      <c r="J379" s="102" t="str">
        <f t="shared" si="12"/>
        <v/>
      </c>
      <c r="K379" s="100" t="str">
        <f t="shared" si="13"/>
        <v/>
      </c>
      <c r="L379" s="92"/>
    </row>
    <row r="380" ht="15.0" customHeight="1">
      <c r="A380" s="36" t="str">
        <f t="shared" si="1"/>
        <v/>
      </c>
      <c r="B380" s="37"/>
      <c r="C380" s="75" t="str">
        <f>IFERROR(VLOOKUP(B380,'Loan Master'!A5:S52,2,FALSE()),"")</f>
        <v/>
      </c>
      <c r="D380" s="37"/>
      <c r="E380" s="61"/>
      <c r="F380" s="77" t="str">
        <f>IFERROR(VLOOKUP(B380,'Loan Master'!A5:S52,17,FALSE()),"")</f>
        <v/>
      </c>
      <c r="G380" s="39"/>
      <c r="H380" s="61"/>
      <c r="I380" s="37"/>
      <c r="J380" s="42" t="str">
        <f t="shared" si="12"/>
        <v/>
      </c>
      <c r="K380" s="44" t="str">
        <f t="shared" si="13"/>
        <v/>
      </c>
      <c r="L380" s="81"/>
    </row>
    <row r="381" ht="15.0" customHeight="1">
      <c r="A381" s="83" t="str">
        <f t="shared" si="1"/>
        <v/>
      </c>
      <c r="B381" s="99"/>
      <c r="C381" s="85" t="str">
        <f>IFERROR(VLOOKUP(B381,'Loan Master'!A5:S52,2,FALSE()),"")</f>
        <v/>
      </c>
      <c r="D381" s="99"/>
      <c r="E381" s="87"/>
      <c r="F381" s="88" t="str">
        <f>IFERROR(VLOOKUP(B381,'Loan Master'!A5:S52,17,FALSE()),"")</f>
        <v/>
      </c>
      <c r="G381" s="89"/>
      <c r="H381" s="87"/>
      <c r="I381" s="99"/>
      <c r="J381" s="102" t="str">
        <f t="shared" si="12"/>
        <v/>
      </c>
      <c r="K381" s="100" t="str">
        <f t="shared" si="13"/>
        <v/>
      </c>
      <c r="L381" s="92"/>
    </row>
    <row r="382" ht="15.0" customHeight="1">
      <c r="A382" s="36" t="str">
        <f t="shared" si="1"/>
        <v/>
      </c>
      <c r="B382" s="37"/>
      <c r="C382" s="75" t="str">
        <f>IFERROR(VLOOKUP(B382,'Loan Master'!A5:S52,2,FALSE()),"")</f>
        <v/>
      </c>
      <c r="D382" s="37"/>
      <c r="E382" s="61"/>
      <c r="F382" s="77" t="str">
        <f>IFERROR(VLOOKUP(B382,'Loan Master'!A5:S52,17,FALSE()),"")</f>
        <v/>
      </c>
      <c r="G382" s="39"/>
      <c r="H382" s="61"/>
      <c r="I382" s="37"/>
      <c r="J382" s="42" t="str">
        <f t="shared" si="12"/>
        <v/>
      </c>
      <c r="K382" s="44" t="str">
        <f t="shared" si="13"/>
        <v/>
      </c>
      <c r="L382" s="81"/>
    </row>
    <row r="383" ht="15.0" customHeight="1">
      <c r="A383" s="83" t="str">
        <f t="shared" si="1"/>
        <v/>
      </c>
      <c r="B383" s="99"/>
      <c r="C383" s="85" t="str">
        <f>IFERROR(VLOOKUP(B383,'Loan Master'!A5:S52,2,FALSE()),"")</f>
        <v/>
      </c>
      <c r="D383" s="99"/>
      <c r="E383" s="87"/>
      <c r="F383" s="88" t="str">
        <f>IFERROR(VLOOKUP(B383,'Loan Master'!A5:S52,17,FALSE()),"")</f>
        <v/>
      </c>
      <c r="G383" s="89"/>
      <c r="H383" s="87"/>
      <c r="I383" s="99"/>
      <c r="J383" s="102" t="str">
        <f t="shared" si="12"/>
        <v/>
      </c>
      <c r="K383" s="100" t="str">
        <f t="shared" si="13"/>
        <v/>
      </c>
      <c r="L383" s="92"/>
    </row>
    <row r="384" ht="15.0" customHeight="1">
      <c r="A384" s="36" t="str">
        <f t="shared" si="1"/>
        <v/>
      </c>
      <c r="B384" s="37"/>
      <c r="C384" s="75" t="str">
        <f>IFERROR(VLOOKUP(B384,'Loan Master'!A5:S52,2,FALSE()),"")</f>
        <v/>
      </c>
      <c r="D384" s="37"/>
      <c r="E384" s="61"/>
      <c r="F384" s="77" t="str">
        <f>IFERROR(VLOOKUP(B384,'Loan Master'!A5:S52,17,FALSE()),"")</f>
        <v/>
      </c>
      <c r="G384" s="39"/>
      <c r="H384" s="61"/>
      <c r="I384" s="37"/>
      <c r="J384" s="42" t="str">
        <f t="shared" si="12"/>
        <v/>
      </c>
      <c r="K384" s="44" t="str">
        <f t="shared" si="13"/>
        <v/>
      </c>
      <c r="L384" s="81"/>
    </row>
    <row r="385" ht="15.0" customHeight="1">
      <c r="A385" s="83" t="str">
        <f t="shared" si="1"/>
        <v/>
      </c>
      <c r="B385" s="99"/>
      <c r="C385" s="85" t="str">
        <f>IFERROR(VLOOKUP(B385,'Loan Master'!A5:S52,2,FALSE()),"")</f>
        <v/>
      </c>
      <c r="D385" s="99"/>
      <c r="E385" s="87"/>
      <c r="F385" s="88" t="str">
        <f>IFERROR(VLOOKUP(B385,'Loan Master'!A5:S52,17,FALSE()),"")</f>
        <v/>
      </c>
      <c r="G385" s="89"/>
      <c r="H385" s="87"/>
      <c r="I385" s="99"/>
      <c r="J385" s="102" t="str">
        <f t="shared" si="12"/>
        <v/>
      </c>
      <c r="K385" s="100" t="str">
        <f t="shared" si="13"/>
        <v/>
      </c>
      <c r="L385" s="92"/>
    </row>
    <row r="386" ht="15.0" customHeight="1">
      <c r="A386" s="36" t="str">
        <f t="shared" si="1"/>
        <v/>
      </c>
      <c r="B386" s="37"/>
      <c r="C386" s="75" t="str">
        <f>IFERROR(VLOOKUP(B386,'Loan Master'!A5:S52,2,FALSE()),"")</f>
        <v/>
      </c>
      <c r="D386" s="37"/>
      <c r="E386" s="61"/>
      <c r="F386" s="77" t="str">
        <f>IFERROR(VLOOKUP(B386,'Loan Master'!A5:S52,17,FALSE()),"")</f>
        <v/>
      </c>
      <c r="G386" s="39"/>
      <c r="H386" s="61"/>
      <c r="I386" s="37"/>
      <c r="J386" s="42" t="str">
        <f t="shared" si="12"/>
        <v/>
      </c>
      <c r="K386" s="44" t="str">
        <f t="shared" si="13"/>
        <v/>
      </c>
      <c r="L386" s="81"/>
    </row>
    <row r="387" ht="15.0" customHeight="1">
      <c r="A387" s="83" t="str">
        <f t="shared" si="1"/>
        <v/>
      </c>
      <c r="B387" s="99"/>
      <c r="C387" s="85" t="str">
        <f>IFERROR(VLOOKUP(B387,'Loan Master'!A5:S52,2,FALSE()),"")</f>
        <v/>
      </c>
      <c r="D387" s="99"/>
      <c r="E387" s="87"/>
      <c r="F387" s="88" t="str">
        <f>IFERROR(VLOOKUP(B387,'Loan Master'!A5:S52,17,FALSE()),"")</f>
        <v/>
      </c>
      <c r="G387" s="89"/>
      <c r="H387" s="87"/>
      <c r="I387" s="99"/>
      <c r="J387" s="102" t="str">
        <f t="shared" si="12"/>
        <v/>
      </c>
      <c r="K387" s="100" t="str">
        <f t="shared" si="13"/>
        <v/>
      </c>
      <c r="L387" s="92"/>
    </row>
    <row r="388" ht="15.0" customHeight="1">
      <c r="A388" s="36" t="str">
        <f t="shared" si="1"/>
        <v/>
      </c>
      <c r="B388" s="37"/>
      <c r="C388" s="75" t="str">
        <f>IFERROR(VLOOKUP(B388,'Loan Master'!A5:S52,2,FALSE()),"")</f>
        <v/>
      </c>
      <c r="D388" s="37"/>
      <c r="E388" s="61"/>
      <c r="F388" s="77" t="str">
        <f>IFERROR(VLOOKUP(B388,'Loan Master'!A5:S52,17,FALSE()),"")</f>
        <v/>
      </c>
      <c r="G388" s="39"/>
      <c r="H388" s="61"/>
      <c r="I388" s="37"/>
      <c r="J388" s="42" t="str">
        <f t="shared" si="12"/>
        <v/>
      </c>
      <c r="K388" s="44" t="str">
        <f t="shared" si="13"/>
        <v/>
      </c>
      <c r="L388" s="81"/>
    </row>
    <row r="389" ht="15.0" customHeight="1">
      <c r="A389" s="83" t="str">
        <f t="shared" si="1"/>
        <v/>
      </c>
      <c r="B389" s="99"/>
      <c r="C389" s="85" t="str">
        <f>IFERROR(VLOOKUP(B389,'Loan Master'!A5:S52,2,FALSE()),"")</f>
        <v/>
      </c>
      <c r="D389" s="99"/>
      <c r="E389" s="87"/>
      <c r="F389" s="88" t="str">
        <f>IFERROR(VLOOKUP(B389,'Loan Master'!A5:S52,17,FALSE()),"")</f>
        <v/>
      </c>
      <c r="G389" s="89"/>
      <c r="H389" s="87"/>
      <c r="I389" s="99"/>
      <c r="J389" s="102" t="str">
        <f t="shared" si="12"/>
        <v/>
      </c>
      <c r="K389" s="100" t="str">
        <f t="shared" si="13"/>
        <v/>
      </c>
      <c r="L389" s="92"/>
    </row>
    <row r="390" ht="15.0" customHeight="1">
      <c r="A390" s="36" t="str">
        <f t="shared" si="1"/>
        <v/>
      </c>
      <c r="B390" s="37"/>
      <c r="C390" s="75" t="str">
        <f>IFERROR(VLOOKUP(B390,'Loan Master'!A5:S52,2,FALSE()),"")</f>
        <v/>
      </c>
      <c r="D390" s="37"/>
      <c r="E390" s="61"/>
      <c r="F390" s="77" t="str">
        <f>IFERROR(VLOOKUP(B390,'Loan Master'!A5:S52,17,FALSE()),"")</f>
        <v/>
      </c>
      <c r="G390" s="39"/>
      <c r="H390" s="61"/>
      <c r="I390" s="37"/>
      <c r="J390" s="42" t="str">
        <f t="shared" si="12"/>
        <v/>
      </c>
      <c r="K390" s="44" t="str">
        <f t="shared" si="13"/>
        <v/>
      </c>
      <c r="L390" s="81"/>
    </row>
    <row r="391" ht="15.0" customHeight="1">
      <c r="A391" s="83" t="str">
        <f t="shared" si="1"/>
        <v/>
      </c>
      <c r="B391" s="99"/>
      <c r="C391" s="85" t="str">
        <f>IFERROR(VLOOKUP(B391,'Loan Master'!A5:S52,2,FALSE()),"")</f>
        <v/>
      </c>
      <c r="D391" s="99"/>
      <c r="E391" s="87"/>
      <c r="F391" s="88" t="str">
        <f>IFERROR(VLOOKUP(B391,'Loan Master'!A5:S52,17,FALSE()),"")</f>
        <v/>
      </c>
      <c r="G391" s="89"/>
      <c r="H391" s="87"/>
      <c r="I391" s="99"/>
      <c r="J391" s="102" t="str">
        <f t="shared" si="12"/>
        <v/>
      </c>
      <c r="K391" s="100" t="str">
        <f t="shared" si="13"/>
        <v/>
      </c>
      <c r="L391" s="92"/>
    </row>
    <row r="392" ht="15.0" customHeight="1">
      <c r="A392" s="36" t="str">
        <f t="shared" si="1"/>
        <v/>
      </c>
      <c r="B392" s="37"/>
      <c r="C392" s="75" t="str">
        <f>IFERROR(VLOOKUP(B392,'Loan Master'!A5:S52,2,FALSE()),"")</f>
        <v/>
      </c>
      <c r="D392" s="37"/>
      <c r="E392" s="61"/>
      <c r="F392" s="77" t="str">
        <f>IFERROR(VLOOKUP(B392,'Loan Master'!A5:S52,17,FALSE()),"")</f>
        <v/>
      </c>
      <c r="G392" s="39"/>
      <c r="H392" s="61"/>
      <c r="I392" s="37"/>
      <c r="J392" s="42" t="str">
        <f t="shared" si="12"/>
        <v/>
      </c>
      <c r="K392" s="44" t="str">
        <f t="shared" si="13"/>
        <v/>
      </c>
      <c r="L392" s="81"/>
    </row>
    <row r="393" ht="15.0" customHeight="1">
      <c r="A393" s="83" t="str">
        <f t="shared" si="1"/>
        <v/>
      </c>
      <c r="B393" s="99"/>
      <c r="C393" s="85" t="str">
        <f>IFERROR(VLOOKUP(B393,'Loan Master'!A5:S52,2,FALSE()),"")</f>
        <v/>
      </c>
      <c r="D393" s="99"/>
      <c r="E393" s="87"/>
      <c r="F393" s="88" t="str">
        <f>IFERROR(VLOOKUP(B393,'Loan Master'!A5:S52,17,FALSE()),"")</f>
        <v/>
      </c>
      <c r="G393" s="89"/>
      <c r="H393" s="87"/>
      <c r="I393" s="99"/>
      <c r="J393" s="102" t="str">
        <f t="shared" si="12"/>
        <v/>
      </c>
      <c r="K393" s="100" t="str">
        <f t="shared" si="13"/>
        <v/>
      </c>
      <c r="L393" s="92"/>
    </row>
    <row r="394" ht="15.0" customHeight="1">
      <c r="A394" s="36" t="str">
        <f t="shared" si="1"/>
        <v/>
      </c>
      <c r="B394" s="37"/>
      <c r="C394" s="75" t="str">
        <f>IFERROR(VLOOKUP(B394,'Loan Master'!A5:S52,2,FALSE()),"")</f>
        <v/>
      </c>
      <c r="D394" s="37"/>
      <c r="E394" s="61"/>
      <c r="F394" s="77" t="str">
        <f>IFERROR(VLOOKUP(B394,'Loan Master'!A5:S52,17,FALSE()),"")</f>
        <v/>
      </c>
      <c r="G394" s="39"/>
      <c r="H394" s="61"/>
      <c r="I394" s="37"/>
      <c r="J394" s="42" t="str">
        <f t="shared" si="12"/>
        <v/>
      </c>
      <c r="K394" s="44" t="str">
        <f t="shared" si="13"/>
        <v/>
      </c>
      <c r="L394" s="81"/>
    </row>
    <row r="395" ht="15.0" customHeight="1">
      <c r="A395" s="83" t="str">
        <f t="shared" si="1"/>
        <v/>
      </c>
      <c r="B395" s="99"/>
      <c r="C395" s="85" t="str">
        <f>IFERROR(VLOOKUP(B395,'Loan Master'!A5:S52,2,FALSE()),"")</f>
        <v/>
      </c>
      <c r="D395" s="99"/>
      <c r="E395" s="87"/>
      <c r="F395" s="88" t="str">
        <f>IFERROR(VLOOKUP(B395,'Loan Master'!A5:S52,17,FALSE()),"")</f>
        <v/>
      </c>
      <c r="G395" s="89"/>
      <c r="H395" s="87"/>
      <c r="I395" s="99"/>
      <c r="J395" s="102" t="str">
        <f t="shared" si="12"/>
        <v/>
      </c>
      <c r="K395" s="100" t="str">
        <f t="shared" si="13"/>
        <v/>
      </c>
      <c r="L395" s="92"/>
    </row>
    <row r="396" ht="15.0" customHeight="1">
      <c r="A396" s="36" t="str">
        <f t="shared" si="1"/>
        <v/>
      </c>
      <c r="B396" s="37"/>
      <c r="C396" s="75" t="str">
        <f>IFERROR(VLOOKUP(B396,'Loan Master'!A5:S52,2,FALSE()),"")</f>
        <v/>
      </c>
      <c r="D396" s="37"/>
      <c r="E396" s="61"/>
      <c r="F396" s="77" t="str">
        <f>IFERROR(VLOOKUP(B396,'Loan Master'!A5:S52,17,FALSE()),"")</f>
        <v/>
      </c>
      <c r="G396" s="39"/>
      <c r="H396" s="61"/>
      <c r="I396" s="37"/>
      <c r="J396" s="42" t="str">
        <f t="shared" si="12"/>
        <v/>
      </c>
      <c r="K396" s="44" t="str">
        <f t="shared" si="13"/>
        <v/>
      </c>
      <c r="L396" s="81"/>
    </row>
    <row r="397" ht="15.0" customHeight="1">
      <c r="A397" s="83" t="str">
        <f t="shared" si="1"/>
        <v/>
      </c>
      <c r="B397" s="99"/>
      <c r="C397" s="85" t="str">
        <f>IFERROR(VLOOKUP(B397,'Loan Master'!A5:S52,2,FALSE()),"")</f>
        <v/>
      </c>
      <c r="D397" s="99"/>
      <c r="E397" s="87"/>
      <c r="F397" s="88" t="str">
        <f>IFERROR(VLOOKUP(B397,'Loan Master'!A5:S52,17,FALSE()),"")</f>
        <v/>
      </c>
      <c r="G397" s="89"/>
      <c r="H397" s="87"/>
      <c r="I397" s="99"/>
      <c r="J397" s="102" t="str">
        <f t="shared" si="12"/>
        <v/>
      </c>
      <c r="K397" s="100" t="str">
        <f t="shared" si="13"/>
        <v/>
      </c>
      <c r="L397" s="92"/>
    </row>
    <row r="398" ht="15.0" customHeight="1">
      <c r="A398" s="36" t="str">
        <f t="shared" si="1"/>
        <v/>
      </c>
      <c r="B398" s="37"/>
      <c r="C398" s="75" t="str">
        <f>IFERROR(VLOOKUP(B398,'Loan Master'!A5:S52,2,FALSE()),"")</f>
        <v/>
      </c>
      <c r="D398" s="37"/>
      <c r="E398" s="61"/>
      <c r="F398" s="77" t="str">
        <f>IFERROR(VLOOKUP(B398,'Loan Master'!A5:S52,17,FALSE()),"")</f>
        <v/>
      </c>
      <c r="G398" s="39"/>
      <c r="H398" s="61"/>
      <c r="I398" s="37"/>
      <c r="J398" s="42" t="str">
        <f t="shared" si="12"/>
        <v/>
      </c>
      <c r="K398" s="44" t="str">
        <f t="shared" si="13"/>
        <v/>
      </c>
      <c r="L398" s="81"/>
    </row>
    <row r="399" ht="15.0" customHeight="1">
      <c r="A399" s="83" t="str">
        <f t="shared" si="1"/>
        <v/>
      </c>
      <c r="B399" s="99"/>
      <c r="C399" s="85" t="str">
        <f>IFERROR(VLOOKUP(B399,'Loan Master'!A5:S52,2,FALSE()),"")</f>
        <v/>
      </c>
      <c r="D399" s="99"/>
      <c r="E399" s="87"/>
      <c r="F399" s="88" t="str">
        <f>IFERROR(VLOOKUP(B399,'Loan Master'!A5:S52,17,FALSE()),"")</f>
        <v/>
      </c>
      <c r="G399" s="89"/>
      <c r="H399" s="87"/>
      <c r="I399" s="99"/>
      <c r="J399" s="102" t="str">
        <f t="shared" si="12"/>
        <v/>
      </c>
      <c r="K399" s="100" t="str">
        <f t="shared" si="13"/>
        <v/>
      </c>
      <c r="L399" s="92"/>
    </row>
    <row r="400" ht="15.0" customHeight="1">
      <c r="A400" s="36" t="str">
        <f t="shared" si="1"/>
        <v/>
      </c>
      <c r="B400" s="37"/>
      <c r="C400" s="75" t="str">
        <f>IFERROR(VLOOKUP(B400,'Loan Master'!A5:S52,2,FALSE()),"")</f>
        <v/>
      </c>
      <c r="D400" s="37"/>
      <c r="E400" s="61"/>
      <c r="F400" s="77" t="str">
        <f>IFERROR(VLOOKUP(B400,'Loan Master'!A5:S52,17,FALSE()),"")</f>
        <v/>
      </c>
      <c r="G400" s="39"/>
      <c r="H400" s="61"/>
      <c r="I400" s="37"/>
      <c r="J400" s="42" t="str">
        <f t="shared" si="12"/>
        <v/>
      </c>
      <c r="K400" s="44" t="str">
        <f t="shared" si="13"/>
        <v/>
      </c>
      <c r="L400" s="81"/>
    </row>
    <row r="401" ht="15.0" customHeight="1">
      <c r="A401" s="83" t="str">
        <f t="shared" si="1"/>
        <v/>
      </c>
      <c r="B401" s="99"/>
      <c r="C401" s="85" t="str">
        <f>IFERROR(VLOOKUP(B401,'Loan Master'!A5:S52,2,FALSE()),"")</f>
        <v/>
      </c>
      <c r="D401" s="99"/>
      <c r="E401" s="87"/>
      <c r="F401" s="88" t="str">
        <f>IFERROR(VLOOKUP(B401,'Loan Master'!A5:S52,17,FALSE()),"")</f>
        <v/>
      </c>
      <c r="G401" s="89"/>
      <c r="H401" s="87"/>
      <c r="I401" s="99"/>
      <c r="J401" s="102" t="str">
        <f t="shared" si="12"/>
        <v/>
      </c>
      <c r="K401" s="100" t="str">
        <f t="shared" si="13"/>
        <v/>
      </c>
      <c r="L401" s="92"/>
    </row>
    <row r="402" ht="15.0" customHeight="1">
      <c r="A402" s="36" t="str">
        <f t="shared" si="1"/>
        <v/>
      </c>
      <c r="B402" s="37"/>
      <c r="C402" s="75" t="str">
        <f>IFERROR(VLOOKUP(B402,'Loan Master'!A5:S52,2,FALSE()),"")</f>
        <v/>
      </c>
      <c r="D402" s="37"/>
      <c r="E402" s="61"/>
      <c r="F402" s="77" t="str">
        <f>IFERROR(VLOOKUP(B402,'Loan Master'!A5:S52,17,FALSE()),"")</f>
        <v/>
      </c>
      <c r="G402" s="39"/>
      <c r="H402" s="61"/>
      <c r="I402" s="37"/>
      <c r="J402" s="42" t="str">
        <f t="shared" si="12"/>
        <v/>
      </c>
      <c r="K402" s="44" t="str">
        <f t="shared" si="13"/>
        <v/>
      </c>
      <c r="L402" s="81"/>
    </row>
    <row r="403" ht="15.0" customHeight="1">
      <c r="A403" s="83" t="str">
        <f t="shared" si="1"/>
        <v/>
      </c>
      <c r="B403" s="99"/>
      <c r="C403" s="85" t="str">
        <f>IFERROR(VLOOKUP(B403,'Loan Master'!A5:S52,2,FALSE()),"")</f>
        <v/>
      </c>
      <c r="D403" s="99"/>
      <c r="E403" s="87"/>
      <c r="F403" s="88" t="str">
        <f>IFERROR(VLOOKUP(B403,'Loan Master'!A5:S52,17,FALSE()),"")</f>
        <v/>
      </c>
      <c r="G403" s="89"/>
      <c r="H403" s="87"/>
      <c r="I403" s="99"/>
      <c r="J403" s="102" t="str">
        <f t="shared" si="12"/>
        <v/>
      </c>
      <c r="K403" s="100" t="str">
        <f t="shared" si="13"/>
        <v/>
      </c>
      <c r="L403" s="92"/>
    </row>
    <row r="404" ht="15.0" customHeight="1">
      <c r="A404" s="36" t="str">
        <f t="shared" si="1"/>
        <v/>
      </c>
      <c r="B404" s="37"/>
      <c r="C404" s="75" t="str">
        <f>IFERROR(VLOOKUP(B404,'Loan Master'!A5:S52,2,FALSE()),"")</f>
        <v/>
      </c>
      <c r="D404" s="37"/>
      <c r="E404" s="61"/>
      <c r="F404" s="77" t="str">
        <f>IFERROR(VLOOKUP(B404,'Loan Master'!A5:S52,17,FALSE()),"")</f>
        <v/>
      </c>
      <c r="G404" s="39"/>
      <c r="H404" s="61"/>
      <c r="I404" s="37"/>
      <c r="J404" s="42" t="str">
        <f t="shared" si="12"/>
        <v/>
      </c>
      <c r="K404" s="44" t="str">
        <f t="shared" si="13"/>
        <v/>
      </c>
      <c r="L404" s="81"/>
    </row>
    <row r="405" ht="15.0" customHeight="1">
      <c r="A405" s="83" t="str">
        <f t="shared" si="1"/>
        <v/>
      </c>
      <c r="B405" s="99"/>
      <c r="C405" s="85" t="str">
        <f>IFERROR(VLOOKUP(B405,'Loan Master'!A5:S52,2,FALSE()),"")</f>
        <v/>
      </c>
      <c r="D405" s="99"/>
      <c r="E405" s="87"/>
      <c r="F405" s="88" t="str">
        <f>IFERROR(VLOOKUP(B405,'Loan Master'!A5:S52,17,FALSE()),"")</f>
        <v/>
      </c>
      <c r="G405" s="89"/>
      <c r="H405" s="87"/>
      <c r="I405" s="99"/>
      <c r="J405" s="102" t="str">
        <f t="shared" si="12"/>
        <v/>
      </c>
      <c r="K405" s="100" t="str">
        <f t="shared" si="13"/>
        <v/>
      </c>
      <c r="L405" s="92"/>
    </row>
    <row r="406" ht="15.0" customHeight="1">
      <c r="A406" s="36" t="str">
        <f t="shared" si="1"/>
        <v/>
      </c>
      <c r="B406" s="37"/>
      <c r="C406" s="75" t="str">
        <f>IFERROR(VLOOKUP(B406,'Loan Master'!A5:S52,2,FALSE()),"")</f>
        <v/>
      </c>
      <c r="D406" s="37"/>
      <c r="E406" s="61"/>
      <c r="F406" s="77" t="str">
        <f>IFERROR(VLOOKUP(B406,'Loan Master'!A5:S52,17,FALSE()),"")</f>
        <v/>
      </c>
      <c r="G406" s="39"/>
      <c r="H406" s="61"/>
      <c r="I406" s="37"/>
      <c r="J406" s="42" t="str">
        <f t="shared" si="12"/>
        <v/>
      </c>
      <c r="K406" s="44" t="str">
        <f t="shared" si="13"/>
        <v/>
      </c>
      <c r="L406" s="81"/>
    </row>
    <row r="407" ht="15.0" customHeight="1">
      <c r="A407" s="83" t="str">
        <f t="shared" si="1"/>
        <v/>
      </c>
      <c r="B407" s="99"/>
      <c r="C407" s="85" t="str">
        <f>IFERROR(VLOOKUP(B407,'Loan Master'!A5:S52,2,FALSE()),"")</f>
        <v/>
      </c>
      <c r="D407" s="99"/>
      <c r="E407" s="87"/>
      <c r="F407" s="88" t="str">
        <f>IFERROR(VLOOKUP(B407,'Loan Master'!A5:S52,17,FALSE()),"")</f>
        <v/>
      </c>
      <c r="G407" s="89"/>
      <c r="H407" s="87"/>
      <c r="I407" s="99"/>
      <c r="J407" s="102" t="str">
        <f t="shared" si="12"/>
        <v/>
      </c>
      <c r="K407" s="100" t="str">
        <f t="shared" si="13"/>
        <v/>
      </c>
      <c r="L407" s="92"/>
    </row>
    <row r="408" ht="15.0" customHeight="1">
      <c r="A408" s="36" t="str">
        <f t="shared" si="1"/>
        <v/>
      </c>
      <c r="B408" s="37"/>
      <c r="C408" s="75" t="str">
        <f>IFERROR(VLOOKUP(B408,'Loan Master'!A5:S52,2,FALSE()),"")</f>
        <v/>
      </c>
      <c r="D408" s="37"/>
      <c r="E408" s="61"/>
      <c r="F408" s="77" t="str">
        <f>IFERROR(VLOOKUP(B408,'Loan Master'!A5:S52,17,FALSE()),"")</f>
        <v/>
      </c>
      <c r="G408" s="39"/>
      <c r="H408" s="61"/>
      <c r="I408" s="37"/>
      <c r="J408" s="42" t="str">
        <f t="shared" si="12"/>
        <v/>
      </c>
      <c r="K408" s="44" t="str">
        <f t="shared" si="13"/>
        <v/>
      </c>
      <c r="L408" s="81"/>
    </row>
    <row r="409" ht="15.0" customHeight="1">
      <c r="A409" s="83" t="str">
        <f t="shared" si="1"/>
        <v/>
      </c>
      <c r="B409" s="99"/>
      <c r="C409" s="85" t="str">
        <f>IFERROR(VLOOKUP(B409,'Loan Master'!A5:S52,2,FALSE()),"")</f>
        <v/>
      </c>
      <c r="D409" s="99"/>
      <c r="E409" s="87"/>
      <c r="F409" s="88" t="str">
        <f>IFERROR(VLOOKUP(B409,'Loan Master'!A5:S52,17,FALSE()),"")</f>
        <v/>
      </c>
      <c r="G409" s="89"/>
      <c r="H409" s="87"/>
      <c r="I409" s="99"/>
      <c r="J409" s="102" t="str">
        <f t="shared" si="12"/>
        <v/>
      </c>
      <c r="K409" s="100" t="str">
        <f t="shared" si="13"/>
        <v/>
      </c>
      <c r="L409" s="92"/>
    </row>
    <row r="410" ht="15.0" customHeight="1">
      <c r="A410" s="36" t="str">
        <f t="shared" si="1"/>
        <v/>
      </c>
      <c r="B410" s="37"/>
      <c r="C410" s="75" t="str">
        <f>IFERROR(VLOOKUP(B410,'Loan Master'!A5:S52,2,FALSE()),"")</f>
        <v/>
      </c>
      <c r="D410" s="37"/>
      <c r="E410" s="61"/>
      <c r="F410" s="77" t="str">
        <f>IFERROR(VLOOKUP(B410,'Loan Master'!A5:S52,17,FALSE()),"")</f>
        <v/>
      </c>
      <c r="G410" s="39"/>
      <c r="H410" s="61"/>
      <c r="I410" s="37"/>
      <c r="J410" s="42" t="str">
        <f t="shared" si="12"/>
        <v/>
      </c>
      <c r="K410" s="44" t="str">
        <f t="shared" si="13"/>
        <v/>
      </c>
      <c r="L410" s="81"/>
    </row>
    <row r="411" ht="15.0" customHeight="1">
      <c r="A411" s="83" t="str">
        <f t="shared" si="1"/>
        <v/>
      </c>
      <c r="B411" s="99"/>
      <c r="C411" s="85" t="str">
        <f>IFERROR(VLOOKUP(B411,'Loan Master'!A5:S52,2,FALSE()),"")</f>
        <v/>
      </c>
      <c r="D411" s="99"/>
      <c r="E411" s="87"/>
      <c r="F411" s="88" t="str">
        <f>IFERROR(VLOOKUP(B411,'Loan Master'!A5:S52,17,FALSE()),"")</f>
        <v/>
      </c>
      <c r="G411" s="89"/>
      <c r="H411" s="87"/>
      <c r="I411" s="99"/>
      <c r="J411" s="102" t="str">
        <f t="shared" si="12"/>
        <v/>
      </c>
      <c r="K411" s="100" t="str">
        <f t="shared" si="13"/>
        <v/>
      </c>
      <c r="L411" s="92"/>
    </row>
    <row r="412" ht="15.0" customHeight="1">
      <c r="A412" s="36" t="str">
        <f t="shared" si="1"/>
        <v/>
      </c>
      <c r="B412" s="37"/>
      <c r="C412" s="75" t="str">
        <f>IFERROR(VLOOKUP(B412,'Loan Master'!A5:S52,2,FALSE()),"")</f>
        <v/>
      </c>
      <c r="D412" s="37"/>
      <c r="E412" s="61"/>
      <c r="F412" s="77" t="str">
        <f>IFERROR(VLOOKUP(B412,'Loan Master'!A5:S52,17,FALSE()),"")</f>
        <v/>
      </c>
      <c r="G412" s="39"/>
      <c r="H412" s="61"/>
      <c r="I412" s="37"/>
      <c r="J412" s="42" t="str">
        <f t="shared" si="12"/>
        <v/>
      </c>
      <c r="K412" s="44" t="str">
        <f t="shared" si="13"/>
        <v/>
      </c>
      <c r="L412" s="81"/>
    </row>
    <row r="413" ht="15.0" customHeight="1">
      <c r="A413" s="83" t="str">
        <f t="shared" si="1"/>
        <v/>
      </c>
      <c r="B413" s="99"/>
      <c r="C413" s="85" t="str">
        <f>IFERROR(VLOOKUP(B413,'Loan Master'!A5:S52,2,FALSE()),"")</f>
        <v/>
      </c>
      <c r="D413" s="99"/>
      <c r="E413" s="87"/>
      <c r="F413" s="88" t="str">
        <f>IFERROR(VLOOKUP(B413,'Loan Master'!A5:S52,17,FALSE()),"")</f>
        <v/>
      </c>
      <c r="G413" s="89"/>
      <c r="H413" s="87"/>
      <c r="I413" s="99"/>
      <c r="J413" s="102" t="str">
        <f t="shared" si="12"/>
        <v/>
      </c>
      <c r="K413" s="100" t="str">
        <f t="shared" si="13"/>
        <v/>
      </c>
      <c r="L413" s="92"/>
    </row>
    <row r="414" ht="15.0" customHeight="1">
      <c r="A414" s="36" t="str">
        <f t="shared" si="1"/>
        <v/>
      </c>
      <c r="B414" s="37"/>
      <c r="C414" s="75" t="str">
        <f>IFERROR(VLOOKUP(B414,'Loan Master'!A5:S52,2,FALSE()),"")</f>
        <v/>
      </c>
      <c r="D414" s="37"/>
      <c r="E414" s="61"/>
      <c r="F414" s="77" t="str">
        <f>IFERROR(VLOOKUP(B414,'Loan Master'!A5:S52,17,FALSE()),"")</f>
        <v/>
      </c>
      <c r="G414" s="39"/>
      <c r="H414" s="61"/>
      <c r="I414" s="37"/>
      <c r="J414" s="42" t="str">
        <f t="shared" si="12"/>
        <v/>
      </c>
      <c r="K414" s="44" t="str">
        <f t="shared" si="13"/>
        <v/>
      </c>
      <c r="L414" s="81"/>
    </row>
    <row r="415" ht="15.0" customHeight="1">
      <c r="A415" s="83" t="str">
        <f t="shared" si="1"/>
        <v/>
      </c>
      <c r="B415" s="99"/>
      <c r="C415" s="85" t="str">
        <f>IFERROR(VLOOKUP(B415,'Loan Master'!A5:S52,2,FALSE()),"")</f>
        <v/>
      </c>
      <c r="D415" s="99"/>
      <c r="E415" s="87"/>
      <c r="F415" s="88" t="str">
        <f>IFERROR(VLOOKUP(B415,'Loan Master'!A5:S52,17,FALSE()),"")</f>
        <v/>
      </c>
      <c r="G415" s="89"/>
      <c r="H415" s="87"/>
      <c r="I415" s="99"/>
      <c r="J415" s="102" t="str">
        <f t="shared" si="12"/>
        <v/>
      </c>
      <c r="K415" s="100" t="str">
        <f t="shared" si="13"/>
        <v/>
      </c>
      <c r="L415" s="92"/>
    </row>
    <row r="416" ht="15.0" customHeight="1">
      <c r="A416" s="36" t="str">
        <f t="shared" si="1"/>
        <v/>
      </c>
      <c r="B416" s="37"/>
      <c r="C416" s="75" t="str">
        <f>IFERROR(VLOOKUP(B416,'Loan Master'!A5:S52,2,FALSE()),"")</f>
        <v/>
      </c>
      <c r="D416" s="37"/>
      <c r="E416" s="61"/>
      <c r="F416" s="77" t="str">
        <f>IFERROR(VLOOKUP(B416,'Loan Master'!A5:S52,17,FALSE()),"")</f>
        <v/>
      </c>
      <c r="G416" s="39"/>
      <c r="H416" s="61"/>
      <c r="I416" s="37"/>
      <c r="J416" s="42" t="str">
        <f t="shared" si="12"/>
        <v/>
      </c>
      <c r="K416" s="44" t="str">
        <f t="shared" si="13"/>
        <v/>
      </c>
      <c r="L416" s="81"/>
    </row>
    <row r="417" ht="15.0" customHeight="1">
      <c r="A417" s="83" t="str">
        <f t="shared" si="1"/>
        <v/>
      </c>
      <c r="B417" s="99"/>
      <c r="C417" s="85" t="str">
        <f>IFERROR(VLOOKUP(B417,'Loan Master'!A5:S52,2,FALSE()),"")</f>
        <v/>
      </c>
      <c r="D417" s="99"/>
      <c r="E417" s="87"/>
      <c r="F417" s="88" t="str">
        <f>IFERROR(VLOOKUP(B417,'Loan Master'!A5:S52,17,FALSE()),"")</f>
        <v/>
      </c>
      <c r="G417" s="89"/>
      <c r="H417" s="87"/>
      <c r="I417" s="99"/>
      <c r="J417" s="102" t="str">
        <f t="shared" si="12"/>
        <v/>
      </c>
      <c r="K417" s="100" t="str">
        <f t="shared" si="13"/>
        <v/>
      </c>
      <c r="L417" s="92"/>
    </row>
    <row r="418" ht="15.0" customHeight="1">
      <c r="A418" s="36" t="str">
        <f t="shared" si="1"/>
        <v/>
      </c>
      <c r="B418" s="37"/>
      <c r="C418" s="75" t="str">
        <f>IFERROR(VLOOKUP(B418,'Loan Master'!A5:S52,2,FALSE()),"")</f>
        <v/>
      </c>
      <c r="D418" s="37"/>
      <c r="E418" s="61"/>
      <c r="F418" s="77" t="str">
        <f>IFERROR(VLOOKUP(B418,'Loan Master'!A5:S52,17,FALSE()),"")</f>
        <v/>
      </c>
      <c r="G418" s="39"/>
      <c r="H418" s="61"/>
      <c r="I418" s="37"/>
      <c r="J418" s="42" t="str">
        <f t="shared" si="12"/>
        <v/>
      </c>
      <c r="K418" s="44" t="str">
        <f t="shared" si="13"/>
        <v/>
      </c>
      <c r="L418" s="81"/>
    </row>
    <row r="419" ht="15.0" customHeight="1">
      <c r="A419" s="83" t="str">
        <f t="shared" si="1"/>
        <v/>
      </c>
      <c r="B419" s="99"/>
      <c r="C419" s="85" t="str">
        <f>IFERROR(VLOOKUP(B419,'Loan Master'!A5:S52,2,FALSE()),"")</f>
        <v/>
      </c>
      <c r="D419" s="99"/>
      <c r="E419" s="87"/>
      <c r="F419" s="88" t="str">
        <f>IFERROR(VLOOKUP(B419,'Loan Master'!A5:S52,17,FALSE()),"")</f>
        <v/>
      </c>
      <c r="G419" s="89"/>
      <c r="H419" s="87"/>
      <c r="I419" s="99"/>
      <c r="J419" s="102" t="str">
        <f t="shared" si="12"/>
        <v/>
      </c>
      <c r="K419" s="100" t="str">
        <f t="shared" si="13"/>
        <v/>
      </c>
      <c r="L419" s="92"/>
    </row>
    <row r="420" ht="15.0" customHeight="1">
      <c r="A420" s="36" t="str">
        <f t="shared" si="1"/>
        <v/>
      </c>
      <c r="B420" s="37"/>
      <c r="C420" s="75" t="str">
        <f>IFERROR(VLOOKUP(B420,'Loan Master'!A5:S52,2,FALSE()),"")</f>
        <v/>
      </c>
      <c r="D420" s="37"/>
      <c r="E420" s="61"/>
      <c r="F420" s="77" t="str">
        <f>IFERROR(VLOOKUP(B420,'Loan Master'!A5:S52,17,FALSE()),"")</f>
        <v/>
      </c>
      <c r="G420" s="39"/>
      <c r="H420" s="61"/>
      <c r="I420" s="37"/>
      <c r="J420" s="42" t="str">
        <f t="shared" si="12"/>
        <v/>
      </c>
      <c r="K420" s="44" t="str">
        <f t="shared" si="13"/>
        <v/>
      </c>
      <c r="L420" s="81"/>
    </row>
    <row r="421" ht="15.0" customHeight="1">
      <c r="A421" s="83" t="str">
        <f t="shared" si="1"/>
        <v/>
      </c>
      <c r="B421" s="99"/>
      <c r="C421" s="85" t="str">
        <f>IFERROR(VLOOKUP(B421,'Loan Master'!A5:S52,2,FALSE()),"")</f>
        <v/>
      </c>
      <c r="D421" s="99"/>
      <c r="E421" s="87"/>
      <c r="F421" s="88" t="str">
        <f>IFERROR(VLOOKUP(B421,'Loan Master'!A5:S52,17,FALSE()),"")</f>
        <v/>
      </c>
      <c r="G421" s="89"/>
      <c r="H421" s="87"/>
      <c r="I421" s="99"/>
      <c r="J421" s="102" t="str">
        <f t="shared" si="12"/>
        <v/>
      </c>
      <c r="K421" s="100" t="str">
        <f t="shared" si="13"/>
        <v/>
      </c>
      <c r="L421" s="92"/>
    </row>
    <row r="422" ht="15.0" customHeight="1">
      <c r="A422" s="36" t="str">
        <f t="shared" si="1"/>
        <v/>
      </c>
      <c r="B422" s="37"/>
      <c r="C422" s="75" t="str">
        <f>IFERROR(VLOOKUP(B422,'Loan Master'!A5:S52,2,FALSE()),"")</f>
        <v/>
      </c>
      <c r="D422" s="37"/>
      <c r="E422" s="61"/>
      <c r="F422" s="77" t="str">
        <f>IFERROR(VLOOKUP(B422,'Loan Master'!A5:S52,17,FALSE()),"")</f>
        <v/>
      </c>
      <c r="G422" s="39"/>
      <c r="H422" s="61"/>
      <c r="I422" s="37"/>
      <c r="J422" s="42" t="str">
        <f t="shared" si="12"/>
        <v/>
      </c>
      <c r="K422" s="44" t="str">
        <f t="shared" si="13"/>
        <v/>
      </c>
      <c r="L422" s="81"/>
    </row>
    <row r="423" ht="15.0" customHeight="1">
      <c r="A423" s="83" t="str">
        <f t="shared" si="1"/>
        <v/>
      </c>
      <c r="B423" s="99"/>
      <c r="C423" s="85" t="str">
        <f>IFERROR(VLOOKUP(B423,'Loan Master'!A5:S52,2,FALSE()),"")</f>
        <v/>
      </c>
      <c r="D423" s="99"/>
      <c r="E423" s="87"/>
      <c r="F423" s="88" t="str">
        <f>IFERROR(VLOOKUP(B423,'Loan Master'!A5:S52,17,FALSE()),"")</f>
        <v/>
      </c>
      <c r="G423" s="89"/>
      <c r="H423" s="87"/>
      <c r="I423" s="99"/>
      <c r="J423" s="102" t="str">
        <f t="shared" si="12"/>
        <v/>
      </c>
      <c r="K423" s="100" t="str">
        <f t="shared" si="13"/>
        <v/>
      </c>
      <c r="L423" s="92"/>
    </row>
    <row r="424" ht="15.0" customHeight="1">
      <c r="A424" s="36" t="str">
        <f t="shared" si="1"/>
        <v/>
      </c>
      <c r="B424" s="37"/>
      <c r="C424" s="75" t="str">
        <f>IFERROR(VLOOKUP(B424,'Loan Master'!A5:S52,2,FALSE()),"")</f>
        <v/>
      </c>
      <c r="D424" s="37"/>
      <c r="E424" s="61"/>
      <c r="F424" s="77" t="str">
        <f>IFERROR(VLOOKUP(B424,'Loan Master'!A5:S52,17,FALSE()),"")</f>
        <v/>
      </c>
      <c r="G424" s="39"/>
      <c r="H424" s="61"/>
      <c r="I424" s="37"/>
      <c r="J424" s="42" t="str">
        <f t="shared" si="12"/>
        <v/>
      </c>
      <c r="K424" s="44" t="str">
        <f t="shared" si="13"/>
        <v/>
      </c>
      <c r="L424" s="81"/>
    </row>
    <row r="425" ht="15.0" customHeight="1">
      <c r="A425" s="83" t="str">
        <f t="shared" si="1"/>
        <v/>
      </c>
      <c r="B425" s="99"/>
      <c r="C425" s="85" t="str">
        <f>IFERROR(VLOOKUP(B425,'Loan Master'!A5:S52,2,FALSE()),"")</f>
        <v/>
      </c>
      <c r="D425" s="99"/>
      <c r="E425" s="87"/>
      <c r="F425" s="88" t="str">
        <f>IFERROR(VLOOKUP(B425,'Loan Master'!A5:S52,17,FALSE()),"")</f>
        <v/>
      </c>
      <c r="G425" s="89"/>
      <c r="H425" s="87"/>
      <c r="I425" s="99"/>
      <c r="J425" s="102" t="str">
        <f t="shared" si="12"/>
        <v/>
      </c>
      <c r="K425" s="100" t="str">
        <f t="shared" si="13"/>
        <v/>
      </c>
      <c r="L425" s="92"/>
    </row>
    <row r="426" ht="15.0" customHeight="1">
      <c r="A426" s="36" t="str">
        <f t="shared" si="1"/>
        <v/>
      </c>
      <c r="B426" s="37"/>
      <c r="C426" s="75" t="str">
        <f>IFERROR(VLOOKUP(B426,'Loan Master'!A5:S52,2,FALSE()),"")</f>
        <v/>
      </c>
      <c r="D426" s="37"/>
      <c r="E426" s="61"/>
      <c r="F426" s="77" t="str">
        <f>IFERROR(VLOOKUP(B426,'Loan Master'!A5:S52,17,FALSE()),"")</f>
        <v/>
      </c>
      <c r="G426" s="39"/>
      <c r="H426" s="61"/>
      <c r="I426" s="37"/>
      <c r="J426" s="42" t="str">
        <f t="shared" si="12"/>
        <v/>
      </c>
      <c r="K426" s="44" t="str">
        <f t="shared" si="13"/>
        <v/>
      </c>
      <c r="L426" s="81"/>
    </row>
    <row r="427" ht="15.0" customHeight="1">
      <c r="A427" s="83" t="str">
        <f t="shared" si="1"/>
        <v/>
      </c>
      <c r="B427" s="99"/>
      <c r="C427" s="85" t="str">
        <f>IFERROR(VLOOKUP(B427,'Loan Master'!A5:S52,2,FALSE()),"")</f>
        <v/>
      </c>
      <c r="D427" s="99"/>
      <c r="E427" s="87"/>
      <c r="F427" s="88" t="str">
        <f>IFERROR(VLOOKUP(B427,'Loan Master'!A5:S52,17,FALSE()),"")</f>
        <v/>
      </c>
      <c r="G427" s="89"/>
      <c r="H427" s="87"/>
      <c r="I427" s="99"/>
      <c r="J427" s="102" t="str">
        <f t="shared" si="12"/>
        <v/>
      </c>
      <c r="K427" s="100" t="str">
        <f t="shared" si="13"/>
        <v/>
      </c>
      <c r="L427" s="92"/>
    </row>
    <row r="428" ht="15.0" customHeight="1">
      <c r="A428" s="36" t="str">
        <f t="shared" si="1"/>
        <v/>
      </c>
      <c r="B428" s="37"/>
      <c r="C428" s="75" t="str">
        <f>IFERROR(VLOOKUP(B428,'Loan Master'!A5:S52,2,FALSE()),"")</f>
        <v/>
      </c>
      <c r="D428" s="37"/>
      <c r="E428" s="61"/>
      <c r="F428" s="77" t="str">
        <f>IFERROR(VLOOKUP(B428,'Loan Master'!A5:S52,17,FALSE()),"")</f>
        <v/>
      </c>
      <c r="G428" s="39"/>
      <c r="H428" s="61"/>
      <c r="I428" s="37"/>
      <c r="J428" s="42" t="str">
        <f t="shared" si="12"/>
        <v/>
      </c>
      <c r="K428" s="44" t="str">
        <f t="shared" si="13"/>
        <v/>
      </c>
      <c r="L428" s="81"/>
    </row>
    <row r="429" ht="15.0" customHeight="1">
      <c r="A429" s="83" t="str">
        <f t="shared" si="1"/>
        <v/>
      </c>
      <c r="B429" s="99"/>
      <c r="C429" s="85" t="str">
        <f>IFERROR(VLOOKUP(B429,'Loan Master'!A5:S52,2,FALSE()),"")</f>
        <v/>
      </c>
      <c r="D429" s="99"/>
      <c r="E429" s="87"/>
      <c r="F429" s="88" t="str">
        <f>IFERROR(VLOOKUP(B429,'Loan Master'!A5:S52,17,FALSE()),"")</f>
        <v/>
      </c>
      <c r="G429" s="89"/>
      <c r="H429" s="87"/>
      <c r="I429" s="99"/>
      <c r="J429" s="102" t="str">
        <f t="shared" si="12"/>
        <v/>
      </c>
      <c r="K429" s="100" t="str">
        <f t="shared" si="13"/>
        <v/>
      </c>
      <c r="L429" s="92"/>
    </row>
    <row r="430" ht="15.0" customHeight="1">
      <c r="A430" s="36" t="str">
        <f t="shared" si="1"/>
        <v/>
      </c>
      <c r="B430" s="37"/>
      <c r="C430" s="75" t="str">
        <f>IFERROR(VLOOKUP(B430,'Loan Master'!A5:S52,2,FALSE()),"")</f>
        <v/>
      </c>
      <c r="D430" s="37"/>
      <c r="E430" s="61"/>
      <c r="F430" s="77" t="str">
        <f>IFERROR(VLOOKUP(B430,'Loan Master'!A5:S52,17,FALSE()),"")</f>
        <v/>
      </c>
      <c r="G430" s="39"/>
      <c r="H430" s="61"/>
      <c r="I430" s="37"/>
      <c r="J430" s="42" t="str">
        <f t="shared" si="12"/>
        <v/>
      </c>
      <c r="K430" s="44" t="str">
        <f t="shared" si="13"/>
        <v/>
      </c>
      <c r="L430" s="81"/>
    </row>
    <row r="431" ht="15.0" customHeight="1">
      <c r="A431" s="83" t="str">
        <f t="shared" si="1"/>
        <v/>
      </c>
      <c r="B431" s="99"/>
      <c r="C431" s="85" t="str">
        <f>IFERROR(VLOOKUP(B431,'Loan Master'!A5:S52,2,FALSE()),"")</f>
        <v/>
      </c>
      <c r="D431" s="99"/>
      <c r="E431" s="87"/>
      <c r="F431" s="88" t="str">
        <f>IFERROR(VLOOKUP(B431,'Loan Master'!A5:S52,17,FALSE()),"")</f>
        <v/>
      </c>
      <c r="G431" s="89"/>
      <c r="H431" s="87"/>
      <c r="I431" s="99"/>
      <c r="J431" s="102" t="str">
        <f t="shared" si="12"/>
        <v/>
      </c>
      <c r="K431" s="100" t="str">
        <f t="shared" si="13"/>
        <v/>
      </c>
      <c r="L431" s="92"/>
    </row>
    <row r="432" ht="15.0" customHeight="1">
      <c r="A432" s="36" t="str">
        <f t="shared" si="1"/>
        <v/>
      </c>
      <c r="B432" s="37"/>
      <c r="C432" s="75" t="str">
        <f>IFERROR(VLOOKUP(B432,'Loan Master'!A5:S52,2,FALSE()),"")</f>
        <v/>
      </c>
      <c r="D432" s="37"/>
      <c r="E432" s="61"/>
      <c r="F432" s="77" t="str">
        <f>IFERROR(VLOOKUP(B432,'Loan Master'!A5:S52,17,FALSE()),"")</f>
        <v/>
      </c>
      <c r="G432" s="39"/>
      <c r="H432" s="61"/>
      <c r="I432" s="37"/>
      <c r="J432" s="42" t="str">
        <f t="shared" si="12"/>
        <v/>
      </c>
      <c r="K432" s="44" t="str">
        <f t="shared" si="13"/>
        <v/>
      </c>
      <c r="L432" s="81"/>
    </row>
    <row r="433" ht="15.0" customHeight="1">
      <c r="A433" s="83" t="str">
        <f t="shared" si="1"/>
        <v/>
      </c>
      <c r="B433" s="99"/>
      <c r="C433" s="85" t="str">
        <f>IFERROR(VLOOKUP(B433,'Loan Master'!A5:S52,2,FALSE()),"")</f>
        <v/>
      </c>
      <c r="D433" s="99"/>
      <c r="E433" s="87"/>
      <c r="F433" s="88" t="str">
        <f>IFERROR(VLOOKUP(B433,'Loan Master'!A5:S52,17,FALSE()),"")</f>
        <v/>
      </c>
      <c r="G433" s="89"/>
      <c r="H433" s="87"/>
      <c r="I433" s="99"/>
      <c r="J433" s="102" t="str">
        <f t="shared" si="12"/>
        <v/>
      </c>
      <c r="K433" s="100" t="str">
        <f t="shared" si="13"/>
        <v/>
      </c>
      <c r="L433" s="92"/>
    </row>
    <row r="434" ht="15.0" customHeight="1">
      <c r="A434" s="36" t="str">
        <f t="shared" si="1"/>
        <v/>
      </c>
      <c r="B434" s="37"/>
      <c r="C434" s="75" t="str">
        <f>IFERROR(VLOOKUP(B434,'Loan Master'!A5:S52,2,FALSE()),"")</f>
        <v/>
      </c>
      <c r="D434" s="37"/>
      <c r="E434" s="61"/>
      <c r="F434" s="77" t="str">
        <f>IFERROR(VLOOKUP(B434,'Loan Master'!A5:S52,17,FALSE()),"")</f>
        <v/>
      </c>
      <c r="G434" s="39"/>
      <c r="H434" s="61"/>
      <c r="I434" s="37"/>
      <c r="J434" s="42" t="str">
        <f t="shared" si="12"/>
        <v/>
      </c>
      <c r="K434" s="44" t="str">
        <f t="shared" si="13"/>
        <v/>
      </c>
      <c r="L434" s="81"/>
    </row>
    <row r="435" ht="15.0" customHeight="1">
      <c r="A435" s="83" t="str">
        <f t="shared" si="1"/>
        <v/>
      </c>
      <c r="B435" s="99"/>
      <c r="C435" s="85" t="str">
        <f>IFERROR(VLOOKUP(B435,'Loan Master'!A5:S52,2,FALSE()),"")</f>
        <v/>
      </c>
      <c r="D435" s="99"/>
      <c r="E435" s="87"/>
      <c r="F435" s="88" t="str">
        <f>IFERROR(VLOOKUP(B435,'Loan Master'!A5:S52,17,FALSE()),"")</f>
        <v/>
      </c>
      <c r="G435" s="89"/>
      <c r="H435" s="87"/>
      <c r="I435" s="99"/>
      <c r="J435" s="102" t="str">
        <f t="shared" si="12"/>
        <v/>
      </c>
      <c r="K435" s="100" t="str">
        <f t="shared" si="13"/>
        <v/>
      </c>
      <c r="L435" s="92"/>
    </row>
    <row r="436" ht="15.0" customHeight="1">
      <c r="A436" s="36" t="str">
        <f t="shared" si="1"/>
        <v/>
      </c>
      <c r="B436" s="37"/>
      <c r="C436" s="75" t="str">
        <f>IFERROR(VLOOKUP(B436,'Loan Master'!A5:S52,2,FALSE()),"")</f>
        <v/>
      </c>
      <c r="D436" s="37"/>
      <c r="E436" s="61"/>
      <c r="F436" s="77" t="str">
        <f>IFERROR(VLOOKUP(B436,'Loan Master'!A5:S52,17,FALSE()),"")</f>
        <v/>
      </c>
      <c r="G436" s="39"/>
      <c r="H436" s="61"/>
      <c r="I436" s="37"/>
      <c r="J436" s="42" t="str">
        <f t="shared" si="12"/>
        <v/>
      </c>
      <c r="K436" s="44" t="str">
        <f t="shared" si="13"/>
        <v/>
      </c>
      <c r="L436" s="81"/>
    </row>
    <row r="437" ht="15.0" customHeight="1">
      <c r="A437" s="83" t="str">
        <f t="shared" si="1"/>
        <v/>
      </c>
      <c r="B437" s="99"/>
      <c r="C437" s="85" t="str">
        <f>IFERROR(VLOOKUP(B437,'Loan Master'!A5:S52,2,FALSE()),"")</f>
        <v/>
      </c>
      <c r="D437" s="99"/>
      <c r="E437" s="87"/>
      <c r="F437" s="88" t="str">
        <f>IFERROR(VLOOKUP(B437,'Loan Master'!A5:S52,17,FALSE()),"")</f>
        <v/>
      </c>
      <c r="G437" s="89"/>
      <c r="H437" s="87"/>
      <c r="I437" s="99"/>
      <c r="J437" s="102" t="str">
        <f t="shared" si="12"/>
        <v/>
      </c>
      <c r="K437" s="100" t="str">
        <f t="shared" si="13"/>
        <v/>
      </c>
      <c r="L437" s="92"/>
    </row>
    <row r="438" ht="15.0" customHeight="1">
      <c r="A438" s="36" t="str">
        <f t="shared" si="1"/>
        <v/>
      </c>
      <c r="B438" s="37"/>
      <c r="C438" s="75" t="str">
        <f>IFERROR(VLOOKUP(B438,'Loan Master'!A5:S52,2,FALSE()),"")</f>
        <v/>
      </c>
      <c r="D438" s="37"/>
      <c r="E438" s="61"/>
      <c r="F438" s="77" t="str">
        <f>IFERROR(VLOOKUP(B438,'Loan Master'!A5:S52,17,FALSE()),"")</f>
        <v/>
      </c>
      <c r="G438" s="39"/>
      <c r="H438" s="61"/>
      <c r="I438" s="37"/>
      <c r="J438" s="42" t="str">
        <f t="shared" si="12"/>
        <v/>
      </c>
      <c r="K438" s="44" t="str">
        <f t="shared" si="13"/>
        <v/>
      </c>
      <c r="L438" s="81"/>
    </row>
    <row r="439" ht="15.0" customHeight="1">
      <c r="A439" s="83" t="str">
        <f t="shared" si="1"/>
        <v/>
      </c>
      <c r="B439" s="99"/>
      <c r="C439" s="85" t="str">
        <f>IFERROR(VLOOKUP(B439,'Loan Master'!A5:S52,2,FALSE()),"")</f>
        <v/>
      </c>
      <c r="D439" s="99"/>
      <c r="E439" s="87"/>
      <c r="F439" s="88" t="str">
        <f>IFERROR(VLOOKUP(B439,'Loan Master'!A5:S52,17,FALSE()),"")</f>
        <v/>
      </c>
      <c r="G439" s="89"/>
      <c r="H439" s="87"/>
      <c r="I439" s="99"/>
      <c r="J439" s="102" t="str">
        <f t="shared" si="12"/>
        <v/>
      </c>
      <c r="K439" s="100" t="str">
        <f t="shared" si="13"/>
        <v/>
      </c>
      <c r="L439" s="92"/>
    </row>
    <row r="440" ht="15.0" customHeight="1">
      <c r="A440" s="36" t="str">
        <f t="shared" si="1"/>
        <v/>
      </c>
      <c r="B440" s="37"/>
      <c r="C440" s="75" t="str">
        <f>IFERROR(VLOOKUP(B440,'Loan Master'!A5:S52,2,FALSE()),"")</f>
        <v/>
      </c>
      <c r="D440" s="37"/>
      <c r="E440" s="61"/>
      <c r="F440" s="77" t="str">
        <f>IFERROR(VLOOKUP(B440,'Loan Master'!A5:S52,17,FALSE()),"")</f>
        <v/>
      </c>
      <c r="G440" s="39"/>
      <c r="H440" s="61"/>
      <c r="I440" s="37"/>
      <c r="J440" s="42" t="str">
        <f t="shared" si="12"/>
        <v/>
      </c>
      <c r="K440" s="44" t="str">
        <f t="shared" si="13"/>
        <v/>
      </c>
      <c r="L440" s="81"/>
    </row>
    <row r="441" ht="15.0" customHeight="1">
      <c r="A441" s="83" t="str">
        <f t="shared" si="1"/>
        <v/>
      </c>
      <c r="B441" s="99"/>
      <c r="C441" s="85" t="str">
        <f>IFERROR(VLOOKUP(B441,'Loan Master'!A5:S52,2,FALSE()),"")</f>
        <v/>
      </c>
      <c r="D441" s="99"/>
      <c r="E441" s="87"/>
      <c r="F441" s="88" t="str">
        <f>IFERROR(VLOOKUP(B441,'Loan Master'!A5:S52,17,FALSE()),"")</f>
        <v/>
      </c>
      <c r="G441" s="89"/>
      <c r="H441" s="87"/>
      <c r="I441" s="99"/>
      <c r="J441" s="102" t="str">
        <f t="shared" si="12"/>
        <v/>
      </c>
      <c r="K441" s="100" t="str">
        <f t="shared" si="13"/>
        <v/>
      </c>
      <c r="L441" s="92"/>
    </row>
    <row r="442" ht="15.0" customHeight="1">
      <c r="A442" s="36" t="str">
        <f t="shared" si="1"/>
        <v/>
      </c>
      <c r="B442" s="37"/>
      <c r="C442" s="75" t="str">
        <f>IFERROR(VLOOKUP(B442,'Loan Master'!A5:S52,2,FALSE()),"")</f>
        <v/>
      </c>
      <c r="D442" s="37"/>
      <c r="E442" s="61"/>
      <c r="F442" s="77" t="str">
        <f>IFERROR(VLOOKUP(B442,'Loan Master'!A5:S52,17,FALSE()),"")</f>
        <v/>
      </c>
      <c r="G442" s="39"/>
      <c r="H442" s="61"/>
      <c r="I442" s="37"/>
      <c r="J442" s="42" t="str">
        <f t="shared" si="12"/>
        <v/>
      </c>
      <c r="K442" s="44" t="str">
        <f t="shared" si="13"/>
        <v/>
      </c>
      <c r="L442" s="81"/>
    </row>
    <row r="443" ht="15.0" customHeight="1">
      <c r="A443" s="83" t="str">
        <f t="shared" si="1"/>
        <v/>
      </c>
      <c r="B443" s="99"/>
      <c r="C443" s="85" t="str">
        <f>IFERROR(VLOOKUP(B443,'Loan Master'!A5:S52,2,FALSE()),"")</f>
        <v/>
      </c>
      <c r="D443" s="99"/>
      <c r="E443" s="87"/>
      <c r="F443" s="88" t="str">
        <f>IFERROR(VLOOKUP(B443,'Loan Master'!A5:S52,17,FALSE()),"")</f>
        <v/>
      </c>
      <c r="G443" s="89"/>
      <c r="H443" s="87"/>
      <c r="I443" s="99"/>
      <c r="J443" s="102" t="str">
        <f t="shared" si="12"/>
        <v/>
      </c>
      <c r="K443" s="100" t="str">
        <f t="shared" si="13"/>
        <v/>
      </c>
      <c r="L443" s="92"/>
    </row>
    <row r="444" ht="15.0" customHeight="1">
      <c r="A444" s="36" t="str">
        <f t="shared" si="1"/>
        <v/>
      </c>
      <c r="B444" s="37"/>
      <c r="C444" s="75" t="str">
        <f>IFERROR(VLOOKUP(B444,'Loan Master'!A5:S52,2,FALSE()),"")</f>
        <v/>
      </c>
      <c r="D444" s="37"/>
      <c r="E444" s="61"/>
      <c r="F444" s="77" t="str">
        <f>IFERROR(VLOOKUP(B444,'Loan Master'!A5:S52,17,FALSE()),"")</f>
        <v/>
      </c>
      <c r="G444" s="39"/>
      <c r="H444" s="61"/>
      <c r="I444" s="37"/>
      <c r="J444" s="42" t="str">
        <f t="shared" si="12"/>
        <v/>
      </c>
      <c r="K444" s="44" t="str">
        <f t="shared" si="13"/>
        <v/>
      </c>
      <c r="L444" s="81"/>
    </row>
    <row r="445" ht="15.0" customHeight="1">
      <c r="A445" s="83" t="str">
        <f t="shared" si="1"/>
        <v/>
      </c>
      <c r="B445" s="99"/>
      <c r="C445" s="85" t="str">
        <f>IFERROR(VLOOKUP(B445,'Loan Master'!A5:S52,2,FALSE()),"")</f>
        <v/>
      </c>
      <c r="D445" s="99"/>
      <c r="E445" s="87"/>
      <c r="F445" s="88" t="str">
        <f>IFERROR(VLOOKUP(B445,'Loan Master'!A5:S52,17,FALSE()),"")</f>
        <v/>
      </c>
      <c r="G445" s="89"/>
      <c r="H445" s="87"/>
      <c r="I445" s="99"/>
      <c r="J445" s="102" t="str">
        <f t="shared" si="12"/>
        <v/>
      </c>
      <c r="K445" s="100" t="str">
        <f t="shared" si="13"/>
        <v/>
      </c>
      <c r="L445" s="92"/>
    </row>
    <row r="446" ht="15.0" customHeight="1">
      <c r="A446" s="36" t="str">
        <f t="shared" si="1"/>
        <v/>
      </c>
      <c r="B446" s="37"/>
      <c r="C446" s="75" t="str">
        <f>IFERROR(VLOOKUP(B446,'Loan Master'!A5:S52,2,FALSE()),"")</f>
        <v/>
      </c>
      <c r="D446" s="37"/>
      <c r="E446" s="61"/>
      <c r="F446" s="77" t="str">
        <f>IFERROR(VLOOKUP(B446,'Loan Master'!A5:S52,17,FALSE()),"")</f>
        <v/>
      </c>
      <c r="G446" s="39"/>
      <c r="H446" s="61"/>
      <c r="I446" s="37"/>
      <c r="J446" s="42" t="str">
        <f t="shared" si="12"/>
        <v/>
      </c>
      <c r="K446" s="44" t="str">
        <f t="shared" si="13"/>
        <v/>
      </c>
      <c r="L446" s="81"/>
    </row>
    <row r="447" ht="15.0" customHeight="1">
      <c r="A447" s="83" t="str">
        <f t="shared" si="1"/>
        <v/>
      </c>
      <c r="B447" s="99"/>
      <c r="C447" s="85" t="str">
        <f>IFERROR(VLOOKUP(B447,'Loan Master'!A5:S52,2,FALSE()),"")</f>
        <v/>
      </c>
      <c r="D447" s="99"/>
      <c r="E447" s="87"/>
      <c r="F447" s="88" t="str">
        <f>IFERROR(VLOOKUP(B447,'Loan Master'!A5:S52,17,FALSE()),"")</f>
        <v/>
      </c>
      <c r="G447" s="89"/>
      <c r="H447" s="87"/>
      <c r="I447" s="99"/>
      <c r="J447" s="102" t="str">
        <f t="shared" si="12"/>
        <v/>
      </c>
      <c r="K447" s="100" t="str">
        <f t="shared" si="13"/>
        <v/>
      </c>
      <c r="L447" s="92"/>
    </row>
    <row r="448" ht="15.0" customHeight="1">
      <c r="A448" s="36" t="str">
        <f t="shared" si="1"/>
        <v/>
      </c>
      <c r="B448" s="37"/>
      <c r="C448" s="75" t="str">
        <f>IFERROR(VLOOKUP(B448,'Loan Master'!A5:S52,2,FALSE()),"")</f>
        <v/>
      </c>
      <c r="D448" s="37"/>
      <c r="E448" s="61"/>
      <c r="F448" s="77" t="str">
        <f>IFERROR(VLOOKUP(B448,'Loan Master'!A5:S52,17,FALSE()),"")</f>
        <v/>
      </c>
      <c r="G448" s="39"/>
      <c r="H448" s="61"/>
      <c r="I448" s="37"/>
      <c r="J448" s="42" t="str">
        <f t="shared" si="12"/>
        <v/>
      </c>
      <c r="K448" s="44" t="str">
        <f t="shared" si="13"/>
        <v/>
      </c>
      <c r="L448" s="81"/>
    </row>
    <row r="449" ht="15.0" customHeight="1">
      <c r="A449" s="83" t="str">
        <f t="shared" si="1"/>
        <v/>
      </c>
      <c r="B449" s="99"/>
      <c r="C449" s="85" t="str">
        <f>IFERROR(VLOOKUP(B449,'Loan Master'!A5:S52,2,FALSE()),"")</f>
        <v/>
      </c>
      <c r="D449" s="99"/>
      <c r="E449" s="87"/>
      <c r="F449" s="88" t="str">
        <f>IFERROR(VLOOKUP(B449,'Loan Master'!A5:S52,17,FALSE()),"")</f>
        <v/>
      </c>
      <c r="G449" s="89"/>
      <c r="H449" s="87"/>
      <c r="I449" s="99"/>
      <c r="J449" s="102" t="str">
        <f t="shared" si="12"/>
        <v/>
      </c>
      <c r="K449" s="100" t="str">
        <f t="shared" si="13"/>
        <v/>
      </c>
      <c r="L449" s="92"/>
    </row>
    <row r="450" ht="15.0" customHeight="1">
      <c r="A450" s="36" t="str">
        <f t="shared" si="1"/>
        <v/>
      </c>
      <c r="B450" s="37"/>
      <c r="C450" s="75" t="str">
        <f>IFERROR(VLOOKUP(B450,'Loan Master'!A5:S52,2,FALSE()),"")</f>
        <v/>
      </c>
      <c r="D450" s="37"/>
      <c r="E450" s="61"/>
      <c r="F450" s="77" t="str">
        <f>IFERROR(VLOOKUP(B450,'Loan Master'!A5:S52,17,FALSE()),"")</f>
        <v/>
      </c>
      <c r="G450" s="39"/>
      <c r="H450" s="61"/>
      <c r="I450" s="37"/>
      <c r="J450" s="42" t="str">
        <f t="shared" si="12"/>
        <v/>
      </c>
      <c r="K450" s="44" t="str">
        <f t="shared" si="13"/>
        <v/>
      </c>
      <c r="L450" s="81"/>
    </row>
    <row r="451" ht="15.0" customHeight="1">
      <c r="A451" s="83" t="str">
        <f t="shared" si="1"/>
        <v/>
      </c>
      <c r="B451" s="99"/>
      <c r="C451" s="85" t="str">
        <f>IFERROR(VLOOKUP(B451,'Loan Master'!A5:S52,2,FALSE()),"")</f>
        <v/>
      </c>
      <c r="D451" s="99"/>
      <c r="E451" s="87"/>
      <c r="F451" s="88" t="str">
        <f>IFERROR(VLOOKUP(B451,'Loan Master'!A5:S52,17,FALSE()),"")</f>
        <v/>
      </c>
      <c r="G451" s="89"/>
      <c r="H451" s="87"/>
      <c r="I451" s="99"/>
      <c r="J451" s="102" t="str">
        <f t="shared" si="12"/>
        <v/>
      </c>
      <c r="K451" s="100" t="str">
        <f t="shared" si="13"/>
        <v/>
      </c>
      <c r="L451" s="92"/>
    </row>
    <row r="452" ht="15.0" customHeight="1">
      <c r="A452" s="36" t="str">
        <f t="shared" si="1"/>
        <v/>
      </c>
      <c r="B452" s="37"/>
      <c r="C452" s="75" t="str">
        <f>IFERROR(VLOOKUP(B452,'Loan Master'!A5:S52,2,FALSE()),"")</f>
        <v/>
      </c>
      <c r="D452" s="37"/>
      <c r="E452" s="61"/>
      <c r="F452" s="77" t="str">
        <f>IFERROR(VLOOKUP(B452,'Loan Master'!A5:S52,17,FALSE()),"")</f>
        <v/>
      </c>
      <c r="G452" s="39"/>
      <c r="H452" s="61"/>
      <c r="I452" s="37"/>
      <c r="J452" s="42" t="str">
        <f t="shared" si="12"/>
        <v/>
      </c>
      <c r="K452" s="44" t="str">
        <f t="shared" si="13"/>
        <v/>
      </c>
      <c r="L452" s="81"/>
    </row>
    <row r="453" ht="15.0" customHeight="1">
      <c r="A453" s="83" t="str">
        <f t="shared" si="1"/>
        <v/>
      </c>
      <c r="B453" s="99"/>
      <c r="C453" s="85" t="str">
        <f>IFERROR(VLOOKUP(B453,'Loan Master'!A5:S52,2,FALSE()),"")</f>
        <v/>
      </c>
      <c r="D453" s="99"/>
      <c r="E453" s="87"/>
      <c r="F453" s="88" t="str">
        <f>IFERROR(VLOOKUP(B453,'Loan Master'!A5:S52,17,FALSE()),"")</f>
        <v/>
      </c>
      <c r="G453" s="89"/>
      <c r="H453" s="87"/>
      <c r="I453" s="99"/>
      <c r="J453" s="102" t="str">
        <f t="shared" si="12"/>
        <v/>
      </c>
      <c r="K453" s="100" t="str">
        <f t="shared" si="13"/>
        <v/>
      </c>
      <c r="L453" s="92"/>
    </row>
    <row r="454" ht="15.0" customHeight="1">
      <c r="A454" s="36" t="str">
        <f t="shared" si="1"/>
        <v/>
      </c>
      <c r="B454" s="37"/>
      <c r="C454" s="75" t="str">
        <f>IFERROR(VLOOKUP(B454,'Loan Master'!A5:S52,2,FALSE()),"")</f>
        <v/>
      </c>
      <c r="D454" s="37"/>
      <c r="E454" s="61"/>
      <c r="F454" s="77" t="str">
        <f>IFERROR(VLOOKUP(B454,'Loan Master'!A5:S52,17,FALSE()),"")</f>
        <v/>
      </c>
      <c r="G454" s="39"/>
      <c r="H454" s="61"/>
      <c r="I454" s="37"/>
      <c r="J454" s="42" t="str">
        <f t="shared" si="12"/>
        <v/>
      </c>
      <c r="K454" s="44" t="str">
        <f t="shared" si="13"/>
        <v/>
      </c>
      <c r="L454" s="81"/>
    </row>
    <row r="455" ht="15.0" customHeight="1">
      <c r="A455" s="83" t="str">
        <f t="shared" si="1"/>
        <v/>
      </c>
      <c r="B455" s="99"/>
      <c r="C455" s="85" t="str">
        <f>IFERROR(VLOOKUP(B455,'Loan Master'!A5:S52,2,FALSE()),"")</f>
        <v/>
      </c>
      <c r="D455" s="99"/>
      <c r="E455" s="87"/>
      <c r="F455" s="88" t="str">
        <f>IFERROR(VLOOKUP(B455,'Loan Master'!A5:S52,17,FALSE()),"")</f>
        <v/>
      </c>
      <c r="G455" s="89"/>
      <c r="H455" s="87"/>
      <c r="I455" s="99"/>
      <c r="J455" s="102" t="str">
        <f t="shared" si="12"/>
        <v/>
      </c>
      <c r="K455" s="100" t="str">
        <f t="shared" si="13"/>
        <v/>
      </c>
      <c r="L455" s="92"/>
    </row>
    <row r="456" ht="15.0" customHeight="1">
      <c r="A456" s="36" t="str">
        <f t="shared" si="1"/>
        <v/>
      </c>
      <c r="B456" s="37"/>
      <c r="C456" s="75" t="str">
        <f>IFERROR(VLOOKUP(B456,'Loan Master'!A5:S52,2,FALSE()),"")</f>
        <v/>
      </c>
      <c r="D456" s="37"/>
      <c r="E456" s="61"/>
      <c r="F456" s="77" t="str">
        <f>IFERROR(VLOOKUP(B456,'Loan Master'!A5:S52,17,FALSE()),"")</f>
        <v/>
      </c>
      <c r="G456" s="39"/>
      <c r="H456" s="61"/>
      <c r="I456" s="37"/>
      <c r="J456" s="42" t="str">
        <f t="shared" si="12"/>
        <v/>
      </c>
      <c r="K456" s="44" t="str">
        <f t="shared" si="13"/>
        <v/>
      </c>
      <c r="L456" s="81"/>
    </row>
    <row r="457" ht="15.0" customHeight="1">
      <c r="A457" s="83" t="str">
        <f t="shared" si="1"/>
        <v/>
      </c>
      <c r="B457" s="99"/>
      <c r="C457" s="85" t="str">
        <f>IFERROR(VLOOKUP(B457,'Loan Master'!A5:S52,2,FALSE()),"")</f>
        <v/>
      </c>
      <c r="D457" s="99"/>
      <c r="E457" s="87"/>
      <c r="F457" s="88" t="str">
        <f>IFERROR(VLOOKUP(B457,'Loan Master'!A5:S52,17,FALSE()),"")</f>
        <v/>
      </c>
      <c r="G457" s="89"/>
      <c r="H457" s="87"/>
      <c r="I457" s="99"/>
      <c r="J457" s="102" t="str">
        <f t="shared" si="12"/>
        <v/>
      </c>
      <c r="K457" s="100" t="str">
        <f t="shared" si="13"/>
        <v/>
      </c>
      <c r="L457" s="92"/>
    </row>
    <row r="458" ht="15.0" customHeight="1">
      <c r="A458" s="36" t="str">
        <f t="shared" si="1"/>
        <v/>
      </c>
      <c r="B458" s="37"/>
      <c r="C458" s="75" t="str">
        <f>IFERROR(VLOOKUP(B458,'Loan Master'!A5:S52,2,FALSE()),"")</f>
        <v/>
      </c>
      <c r="D458" s="37"/>
      <c r="E458" s="61"/>
      <c r="F458" s="77" t="str">
        <f>IFERROR(VLOOKUP(B458,'Loan Master'!A5:S52,17,FALSE()),"")</f>
        <v/>
      </c>
      <c r="G458" s="39"/>
      <c r="H458" s="61"/>
      <c r="I458" s="37"/>
      <c r="J458" s="42" t="str">
        <f t="shared" si="12"/>
        <v/>
      </c>
      <c r="K458" s="44" t="str">
        <f t="shared" si="13"/>
        <v/>
      </c>
      <c r="L458" s="81"/>
    </row>
    <row r="459" ht="15.0" customHeight="1">
      <c r="A459" s="83" t="str">
        <f t="shared" si="1"/>
        <v/>
      </c>
      <c r="B459" s="99"/>
      <c r="C459" s="85" t="str">
        <f>IFERROR(VLOOKUP(B459,'Loan Master'!A5:S52,2,FALSE()),"")</f>
        <v/>
      </c>
      <c r="D459" s="99"/>
      <c r="E459" s="87"/>
      <c r="F459" s="88" t="str">
        <f>IFERROR(VLOOKUP(B459,'Loan Master'!A5:S52,17,FALSE()),"")</f>
        <v/>
      </c>
      <c r="G459" s="89"/>
      <c r="H459" s="87"/>
      <c r="I459" s="99"/>
      <c r="J459" s="102" t="str">
        <f t="shared" si="12"/>
        <v/>
      </c>
      <c r="K459" s="100" t="str">
        <f t="shared" si="13"/>
        <v/>
      </c>
      <c r="L459" s="92"/>
    </row>
    <row r="460" ht="15.0" customHeight="1">
      <c r="A460" s="36" t="str">
        <f t="shared" si="1"/>
        <v/>
      </c>
      <c r="B460" s="37"/>
      <c r="C460" s="75" t="str">
        <f>IFERROR(VLOOKUP(B460,'Loan Master'!A5:S52,2,FALSE()),"")</f>
        <v/>
      </c>
      <c r="D460" s="37"/>
      <c r="E460" s="61"/>
      <c r="F460" s="77" t="str">
        <f>IFERROR(VLOOKUP(B460,'Loan Master'!A5:S52,17,FALSE()),"")</f>
        <v/>
      </c>
      <c r="G460" s="39"/>
      <c r="H460" s="61"/>
      <c r="I460" s="37"/>
      <c r="J460" s="42" t="str">
        <f t="shared" si="12"/>
        <v/>
      </c>
      <c r="K460" s="44" t="str">
        <f t="shared" si="13"/>
        <v/>
      </c>
      <c r="L460" s="81"/>
    </row>
    <row r="461" ht="15.0" customHeight="1">
      <c r="A461" s="83" t="str">
        <f t="shared" si="1"/>
        <v/>
      </c>
      <c r="B461" s="99"/>
      <c r="C461" s="85" t="str">
        <f>IFERROR(VLOOKUP(B461,'Loan Master'!A5:S52,2,FALSE()),"")</f>
        <v/>
      </c>
      <c r="D461" s="99"/>
      <c r="E461" s="87"/>
      <c r="F461" s="88" t="str">
        <f>IFERROR(VLOOKUP(B461,'Loan Master'!A5:S52,17,FALSE()),"")</f>
        <v/>
      </c>
      <c r="G461" s="89"/>
      <c r="H461" s="87"/>
      <c r="I461" s="99"/>
      <c r="J461" s="102" t="str">
        <f t="shared" si="12"/>
        <v/>
      </c>
      <c r="K461" s="100" t="str">
        <f t="shared" si="13"/>
        <v/>
      </c>
      <c r="L461" s="92"/>
    </row>
    <row r="462" ht="15.0" customHeight="1">
      <c r="A462" s="36" t="str">
        <f t="shared" si="1"/>
        <v/>
      </c>
      <c r="B462" s="37"/>
      <c r="C462" s="75" t="str">
        <f>IFERROR(VLOOKUP(B462,'Loan Master'!A5:S52,2,FALSE()),"")</f>
        <v/>
      </c>
      <c r="D462" s="37"/>
      <c r="E462" s="61"/>
      <c r="F462" s="77" t="str">
        <f>IFERROR(VLOOKUP(B462,'Loan Master'!A5:S52,17,FALSE()),"")</f>
        <v/>
      </c>
      <c r="G462" s="39"/>
      <c r="H462" s="61"/>
      <c r="I462" s="37"/>
      <c r="J462" s="42" t="str">
        <f t="shared" si="12"/>
        <v/>
      </c>
      <c r="K462" s="44" t="str">
        <f t="shared" si="13"/>
        <v/>
      </c>
      <c r="L462" s="81"/>
    </row>
    <row r="463" ht="15.0" customHeight="1">
      <c r="A463" s="83" t="str">
        <f t="shared" si="1"/>
        <v/>
      </c>
      <c r="B463" s="99"/>
      <c r="C463" s="85" t="str">
        <f>IFERROR(VLOOKUP(B463,'Loan Master'!A5:S52,2,FALSE()),"")</f>
        <v/>
      </c>
      <c r="D463" s="99"/>
      <c r="E463" s="87"/>
      <c r="F463" s="88" t="str">
        <f>IFERROR(VLOOKUP(B463,'Loan Master'!A5:S52,17,FALSE()),"")</f>
        <v/>
      </c>
      <c r="G463" s="89"/>
      <c r="H463" s="87"/>
      <c r="I463" s="99"/>
      <c r="J463" s="102" t="str">
        <f t="shared" si="12"/>
        <v/>
      </c>
      <c r="K463" s="100" t="str">
        <f t="shared" si="13"/>
        <v/>
      </c>
      <c r="L463" s="92"/>
    </row>
    <row r="464" ht="15.0" customHeight="1">
      <c r="A464" s="36" t="str">
        <f t="shared" si="1"/>
        <v/>
      </c>
      <c r="B464" s="37"/>
      <c r="C464" s="75" t="str">
        <f>IFERROR(VLOOKUP(B464,'Loan Master'!A5:S52,2,FALSE()),"")</f>
        <v/>
      </c>
      <c r="D464" s="37"/>
      <c r="E464" s="61"/>
      <c r="F464" s="77" t="str">
        <f>IFERROR(VLOOKUP(B464,'Loan Master'!A5:S52,17,FALSE()),"")</f>
        <v/>
      </c>
      <c r="G464" s="39"/>
      <c r="H464" s="61"/>
      <c r="I464" s="37"/>
      <c r="J464" s="42" t="str">
        <f t="shared" si="12"/>
        <v/>
      </c>
      <c r="K464" s="44" t="str">
        <f t="shared" si="13"/>
        <v/>
      </c>
      <c r="L464" s="81"/>
    </row>
    <row r="465" ht="15.0" customHeight="1">
      <c r="A465" s="83" t="str">
        <f t="shared" si="1"/>
        <v/>
      </c>
      <c r="B465" s="99"/>
      <c r="C465" s="85" t="str">
        <f>IFERROR(VLOOKUP(B465,'Loan Master'!A5:S52,2,FALSE()),"")</f>
        <v/>
      </c>
      <c r="D465" s="99"/>
      <c r="E465" s="87"/>
      <c r="F465" s="88" t="str">
        <f>IFERROR(VLOOKUP(B465,'Loan Master'!A5:S52,17,FALSE()),"")</f>
        <v/>
      </c>
      <c r="G465" s="89"/>
      <c r="H465" s="87"/>
      <c r="I465" s="99"/>
      <c r="J465" s="102" t="str">
        <f t="shared" si="12"/>
        <v/>
      </c>
      <c r="K465" s="100" t="str">
        <f t="shared" si="13"/>
        <v/>
      </c>
      <c r="L465" s="92"/>
    </row>
    <row r="466" ht="15.0" customHeight="1">
      <c r="A466" s="36" t="str">
        <f t="shared" si="1"/>
        <v/>
      </c>
      <c r="B466" s="37"/>
      <c r="C466" s="75" t="str">
        <f>IFERROR(VLOOKUP(B466,'Loan Master'!A5:S52,2,FALSE()),"")</f>
        <v/>
      </c>
      <c r="D466" s="37"/>
      <c r="E466" s="61"/>
      <c r="F466" s="77" t="str">
        <f>IFERROR(VLOOKUP(B466,'Loan Master'!A5:S52,17,FALSE()),"")</f>
        <v/>
      </c>
      <c r="G466" s="39"/>
      <c r="H466" s="61"/>
      <c r="I466" s="37"/>
      <c r="J466" s="42" t="str">
        <f t="shared" si="12"/>
        <v/>
      </c>
      <c r="K466" s="44" t="str">
        <f t="shared" si="13"/>
        <v/>
      </c>
      <c r="L466" s="81"/>
    </row>
    <row r="467" ht="15.0" customHeight="1">
      <c r="A467" s="83" t="str">
        <f t="shared" si="1"/>
        <v/>
      </c>
      <c r="B467" s="99"/>
      <c r="C467" s="85" t="str">
        <f>IFERROR(VLOOKUP(B467,'Loan Master'!A5:S52,2,FALSE()),"")</f>
        <v/>
      </c>
      <c r="D467" s="99"/>
      <c r="E467" s="87"/>
      <c r="F467" s="88" t="str">
        <f>IFERROR(VLOOKUP(B467,'Loan Master'!A5:S52,17,FALSE()),"")</f>
        <v/>
      </c>
      <c r="G467" s="89"/>
      <c r="H467" s="87"/>
      <c r="I467" s="99"/>
      <c r="J467" s="102" t="str">
        <f t="shared" si="12"/>
        <v/>
      </c>
      <c r="K467" s="100" t="str">
        <f t="shared" si="13"/>
        <v/>
      </c>
      <c r="L467" s="92"/>
    </row>
    <row r="468" ht="15.0" customHeight="1">
      <c r="A468" s="36" t="str">
        <f t="shared" si="1"/>
        <v/>
      </c>
      <c r="B468" s="37"/>
      <c r="C468" s="75" t="str">
        <f>IFERROR(VLOOKUP(B468,'Loan Master'!A5:S52,2,FALSE()),"")</f>
        <v/>
      </c>
      <c r="D468" s="37"/>
      <c r="E468" s="61"/>
      <c r="F468" s="77" t="str">
        <f>IFERROR(VLOOKUP(B468,'Loan Master'!A5:S52,17,FALSE()),"")</f>
        <v/>
      </c>
      <c r="G468" s="39"/>
      <c r="H468" s="61"/>
      <c r="I468" s="37"/>
      <c r="J468" s="42" t="str">
        <f t="shared" si="12"/>
        <v/>
      </c>
      <c r="K468" s="44" t="str">
        <f t="shared" si="13"/>
        <v/>
      </c>
      <c r="L468" s="81"/>
    </row>
    <row r="469" ht="15.0" customHeight="1">
      <c r="A469" s="83" t="str">
        <f t="shared" si="1"/>
        <v/>
      </c>
      <c r="B469" s="99"/>
      <c r="C469" s="85" t="str">
        <f>IFERROR(VLOOKUP(B469,'Loan Master'!A5:S52,2,FALSE()),"")</f>
        <v/>
      </c>
      <c r="D469" s="99"/>
      <c r="E469" s="87"/>
      <c r="F469" s="88" t="str">
        <f>IFERROR(VLOOKUP(B469,'Loan Master'!A5:S52,17,FALSE()),"")</f>
        <v/>
      </c>
      <c r="G469" s="89"/>
      <c r="H469" s="87"/>
      <c r="I469" s="99"/>
      <c r="J469" s="102" t="str">
        <f t="shared" si="12"/>
        <v/>
      </c>
      <c r="K469" s="100" t="str">
        <f t="shared" si="13"/>
        <v/>
      </c>
      <c r="L469" s="92"/>
    </row>
    <row r="470" ht="15.0" customHeight="1">
      <c r="A470" s="36" t="str">
        <f t="shared" si="1"/>
        <v/>
      </c>
      <c r="B470" s="37"/>
      <c r="C470" s="75" t="str">
        <f>IFERROR(VLOOKUP(B470,'Loan Master'!A5:S52,2,FALSE()),"")</f>
        <v/>
      </c>
      <c r="D470" s="37"/>
      <c r="E470" s="61"/>
      <c r="F470" s="77" t="str">
        <f>IFERROR(VLOOKUP(B470,'Loan Master'!A5:S52,17,FALSE()),"")</f>
        <v/>
      </c>
      <c r="G470" s="39"/>
      <c r="H470" s="61"/>
      <c r="I470" s="37"/>
      <c r="J470" s="42" t="str">
        <f t="shared" si="12"/>
        <v/>
      </c>
      <c r="K470" s="44" t="str">
        <f t="shared" si="13"/>
        <v/>
      </c>
      <c r="L470" s="81"/>
    </row>
    <row r="471" ht="15.0" customHeight="1">
      <c r="A471" s="83" t="str">
        <f t="shared" si="1"/>
        <v/>
      </c>
      <c r="B471" s="99"/>
      <c r="C471" s="85" t="str">
        <f>IFERROR(VLOOKUP(B471,'Loan Master'!A5:S52,2,FALSE()),"")</f>
        <v/>
      </c>
      <c r="D471" s="99"/>
      <c r="E471" s="87"/>
      <c r="F471" s="88" t="str">
        <f>IFERROR(VLOOKUP(B471,'Loan Master'!A5:S52,17,FALSE()),"")</f>
        <v/>
      </c>
      <c r="G471" s="89"/>
      <c r="H471" s="87"/>
      <c r="I471" s="99"/>
      <c r="J471" s="102" t="str">
        <f t="shared" si="12"/>
        <v/>
      </c>
      <c r="K471" s="100" t="str">
        <f t="shared" si="13"/>
        <v/>
      </c>
      <c r="L471" s="92"/>
    </row>
    <row r="472" ht="15.0" customHeight="1">
      <c r="A472" s="36" t="str">
        <f t="shared" si="1"/>
        <v/>
      </c>
      <c r="B472" s="37"/>
      <c r="C472" s="75" t="str">
        <f>IFERROR(VLOOKUP(B472,'Loan Master'!A5:S52,2,FALSE()),"")</f>
        <v/>
      </c>
      <c r="D472" s="37"/>
      <c r="E472" s="61"/>
      <c r="F472" s="77" t="str">
        <f>IFERROR(VLOOKUP(B472,'Loan Master'!A5:S52,17,FALSE()),"")</f>
        <v/>
      </c>
      <c r="G472" s="39"/>
      <c r="H472" s="61"/>
      <c r="I472" s="37"/>
      <c r="J472" s="42" t="str">
        <f t="shared" si="12"/>
        <v/>
      </c>
      <c r="K472" s="44" t="str">
        <f t="shared" si="13"/>
        <v/>
      </c>
      <c r="L472" s="81"/>
    </row>
    <row r="473" ht="15.0" customHeight="1">
      <c r="A473" s="83" t="str">
        <f t="shared" si="1"/>
        <v/>
      </c>
      <c r="B473" s="99"/>
      <c r="C473" s="85" t="str">
        <f>IFERROR(VLOOKUP(B473,'Loan Master'!A5:S52,2,FALSE()),"")</f>
        <v/>
      </c>
      <c r="D473" s="99"/>
      <c r="E473" s="87"/>
      <c r="F473" s="88" t="str">
        <f>IFERROR(VLOOKUP(B473,'Loan Master'!A5:S52,17,FALSE()),"")</f>
        <v/>
      </c>
      <c r="G473" s="89"/>
      <c r="H473" s="87"/>
      <c r="I473" s="99"/>
      <c r="J473" s="102" t="str">
        <f t="shared" si="12"/>
        <v/>
      </c>
      <c r="K473" s="100" t="str">
        <f t="shared" si="13"/>
        <v/>
      </c>
      <c r="L473" s="92"/>
    </row>
    <row r="474" ht="15.0" customHeight="1">
      <c r="A474" s="36" t="str">
        <f t="shared" si="1"/>
        <v/>
      </c>
      <c r="B474" s="37"/>
      <c r="C474" s="75" t="str">
        <f>IFERROR(VLOOKUP(B474,'Loan Master'!A5:S52,2,FALSE()),"")</f>
        <v/>
      </c>
      <c r="D474" s="37"/>
      <c r="E474" s="61"/>
      <c r="F474" s="77" t="str">
        <f>IFERROR(VLOOKUP(B474,'Loan Master'!A5:S52,17,FALSE()),"")</f>
        <v/>
      </c>
      <c r="G474" s="39"/>
      <c r="H474" s="61"/>
      <c r="I474" s="37"/>
      <c r="J474" s="42" t="str">
        <f t="shared" si="12"/>
        <v/>
      </c>
      <c r="K474" s="44" t="str">
        <f t="shared" si="13"/>
        <v/>
      </c>
      <c r="L474" s="81"/>
    </row>
    <row r="475" ht="15.0" customHeight="1">
      <c r="A475" s="83" t="str">
        <f t="shared" si="1"/>
        <v/>
      </c>
      <c r="B475" s="99"/>
      <c r="C475" s="85" t="str">
        <f>IFERROR(VLOOKUP(B475,'Loan Master'!A5:S52,2,FALSE()),"")</f>
        <v/>
      </c>
      <c r="D475" s="99"/>
      <c r="E475" s="87"/>
      <c r="F475" s="88" t="str">
        <f>IFERROR(VLOOKUP(B475,'Loan Master'!A5:S52,17,FALSE()),"")</f>
        <v/>
      </c>
      <c r="G475" s="89"/>
      <c r="H475" s="87"/>
      <c r="I475" s="99"/>
      <c r="J475" s="102" t="str">
        <f t="shared" si="12"/>
        <v/>
      </c>
      <c r="K475" s="100" t="str">
        <f t="shared" si="13"/>
        <v/>
      </c>
      <c r="L475" s="92"/>
    </row>
    <row r="476" ht="15.0" customHeight="1">
      <c r="A476" s="36" t="str">
        <f t="shared" si="1"/>
        <v/>
      </c>
      <c r="B476" s="37"/>
      <c r="C476" s="75" t="str">
        <f>IFERROR(VLOOKUP(B476,'Loan Master'!A5:S52,2,FALSE()),"")</f>
        <v/>
      </c>
      <c r="D476" s="37"/>
      <c r="E476" s="61"/>
      <c r="F476" s="77" t="str">
        <f>IFERROR(VLOOKUP(B476,'Loan Master'!A5:S52,17,FALSE()),"")</f>
        <v/>
      </c>
      <c r="G476" s="39"/>
      <c r="H476" s="61"/>
      <c r="I476" s="37"/>
      <c r="J476" s="42" t="str">
        <f t="shared" si="12"/>
        <v/>
      </c>
      <c r="K476" s="44" t="str">
        <f t="shared" si="13"/>
        <v/>
      </c>
      <c r="L476" s="81"/>
    </row>
    <row r="477" ht="15.0" customHeight="1">
      <c r="A477" s="83" t="str">
        <f t="shared" si="1"/>
        <v/>
      </c>
      <c r="B477" s="99"/>
      <c r="C477" s="85" t="str">
        <f>IFERROR(VLOOKUP(B477,'Loan Master'!A5:S52,2,FALSE()),"")</f>
        <v/>
      </c>
      <c r="D477" s="99"/>
      <c r="E477" s="87"/>
      <c r="F477" s="88" t="str">
        <f>IFERROR(VLOOKUP(B477,'Loan Master'!A5:S52,17,FALSE()),"")</f>
        <v/>
      </c>
      <c r="G477" s="89"/>
      <c r="H477" s="87"/>
      <c r="I477" s="99"/>
      <c r="J477" s="102" t="str">
        <f t="shared" si="12"/>
        <v/>
      </c>
      <c r="K477" s="100" t="str">
        <f t="shared" si="13"/>
        <v/>
      </c>
      <c r="L477" s="92"/>
    </row>
    <row r="478" ht="15.0" customHeight="1">
      <c r="A478" s="36" t="str">
        <f t="shared" si="1"/>
        <v/>
      </c>
      <c r="B478" s="37"/>
      <c r="C478" s="75" t="str">
        <f>IFERROR(VLOOKUP(B478,'Loan Master'!A5:S52,2,FALSE()),"")</f>
        <v/>
      </c>
      <c r="D478" s="37"/>
      <c r="E478" s="61"/>
      <c r="F478" s="77" t="str">
        <f>IFERROR(VLOOKUP(B478,'Loan Master'!A5:S52,17,FALSE()),"")</f>
        <v/>
      </c>
      <c r="G478" s="39"/>
      <c r="H478" s="61"/>
      <c r="I478" s="37"/>
      <c r="J478" s="42" t="str">
        <f t="shared" si="12"/>
        <v/>
      </c>
      <c r="K478" s="44" t="str">
        <f t="shared" si="13"/>
        <v/>
      </c>
      <c r="L478" s="81"/>
    </row>
    <row r="479" ht="15.0" customHeight="1">
      <c r="A479" s="83" t="str">
        <f t="shared" si="1"/>
        <v/>
      </c>
      <c r="B479" s="99"/>
      <c r="C479" s="85" t="str">
        <f>IFERROR(VLOOKUP(B479,'Loan Master'!A5:S52,2,FALSE()),"")</f>
        <v/>
      </c>
      <c r="D479" s="99"/>
      <c r="E479" s="87"/>
      <c r="F479" s="88" t="str">
        <f>IFERROR(VLOOKUP(B479,'Loan Master'!A5:S52,17,FALSE()),"")</f>
        <v/>
      </c>
      <c r="G479" s="89"/>
      <c r="H479" s="87"/>
      <c r="I479" s="99"/>
      <c r="J479" s="102" t="str">
        <f t="shared" si="12"/>
        <v/>
      </c>
      <c r="K479" s="100" t="str">
        <f t="shared" si="13"/>
        <v/>
      </c>
      <c r="L479" s="92"/>
    </row>
    <row r="480" ht="15.0" customHeight="1">
      <c r="A480" s="36" t="str">
        <f t="shared" si="1"/>
        <v/>
      </c>
      <c r="B480" s="37"/>
      <c r="C480" s="75" t="str">
        <f>IFERROR(VLOOKUP(B480,'Loan Master'!A5:S52,2,FALSE()),"")</f>
        <v/>
      </c>
      <c r="D480" s="37"/>
      <c r="E480" s="61"/>
      <c r="F480" s="77" t="str">
        <f>IFERROR(VLOOKUP(B480,'Loan Master'!A5:S52,17,FALSE()),"")</f>
        <v/>
      </c>
      <c r="G480" s="39"/>
      <c r="H480" s="61"/>
      <c r="I480" s="37"/>
      <c r="J480" s="42" t="str">
        <f t="shared" si="12"/>
        <v/>
      </c>
      <c r="K480" s="44" t="str">
        <f t="shared" si="13"/>
        <v/>
      </c>
      <c r="L480" s="81"/>
    </row>
    <row r="481" ht="15.0" customHeight="1">
      <c r="A481" s="83" t="str">
        <f t="shared" si="1"/>
        <v/>
      </c>
      <c r="B481" s="99"/>
      <c r="C481" s="85" t="str">
        <f>IFERROR(VLOOKUP(B481,'Loan Master'!A5:S52,2,FALSE()),"")</f>
        <v/>
      </c>
      <c r="D481" s="99"/>
      <c r="E481" s="87"/>
      <c r="F481" s="88" t="str">
        <f>IFERROR(VLOOKUP(B481,'Loan Master'!A5:S52,17,FALSE()),"")</f>
        <v/>
      </c>
      <c r="G481" s="89"/>
      <c r="H481" s="87"/>
      <c r="I481" s="99"/>
      <c r="J481" s="102" t="str">
        <f t="shared" si="12"/>
        <v/>
      </c>
      <c r="K481" s="100" t="str">
        <f t="shared" si="13"/>
        <v/>
      </c>
      <c r="L481" s="92"/>
    </row>
    <row r="482" ht="15.0" customHeight="1">
      <c r="A482" s="36" t="str">
        <f t="shared" si="1"/>
        <v/>
      </c>
      <c r="B482" s="37"/>
      <c r="C482" s="75" t="str">
        <f>IFERROR(VLOOKUP(B482,'Loan Master'!A5:S52,2,FALSE()),"")</f>
        <v/>
      </c>
      <c r="D482" s="37"/>
      <c r="E482" s="61"/>
      <c r="F482" s="77" t="str">
        <f>IFERROR(VLOOKUP(B482,'Loan Master'!A5:S52,17,FALSE()),"")</f>
        <v/>
      </c>
      <c r="G482" s="39"/>
      <c r="H482" s="61"/>
      <c r="I482" s="37"/>
      <c r="J482" s="42" t="str">
        <f t="shared" si="12"/>
        <v/>
      </c>
      <c r="K482" s="44" t="str">
        <f t="shared" si="13"/>
        <v/>
      </c>
      <c r="L482" s="81"/>
    </row>
    <row r="483" ht="15.0" customHeight="1">
      <c r="A483" s="83" t="str">
        <f t="shared" si="1"/>
        <v/>
      </c>
      <c r="B483" s="99"/>
      <c r="C483" s="85" t="str">
        <f>IFERROR(VLOOKUP(B483,'Loan Master'!A5:S52,2,FALSE()),"")</f>
        <v/>
      </c>
      <c r="D483" s="99"/>
      <c r="E483" s="87"/>
      <c r="F483" s="88" t="str">
        <f>IFERROR(VLOOKUP(B483,'Loan Master'!A5:S52,17,FALSE()),"")</f>
        <v/>
      </c>
      <c r="G483" s="89"/>
      <c r="H483" s="87"/>
      <c r="I483" s="99"/>
      <c r="J483" s="102" t="str">
        <f t="shared" si="12"/>
        <v/>
      </c>
      <c r="K483" s="100" t="str">
        <f t="shared" si="13"/>
        <v/>
      </c>
      <c r="L483" s="92"/>
    </row>
    <row r="484" ht="15.0" customHeight="1">
      <c r="A484" s="36" t="str">
        <f t="shared" si="1"/>
        <v/>
      </c>
      <c r="B484" s="37"/>
      <c r="C484" s="75" t="str">
        <f>IFERROR(VLOOKUP(B484,'Loan Master'!A5:S52,2,FALSE()),"")</f>
        <v/>
      </c>
      <c r="D484" s="37"/>
      <c r="E484" s="61"/>
      <c r="F484" s="77" t="str">
        <f>IFERROR(VLOOKUP(B484,'Loan Master'!A5:S52,17,FALSE()),"")</f>
        <v/>
      </c>
      <c r="G484" s="39"/>
      <c r="H484" s="61"/>
      <c r="I484" s="37"/>
      <c r="J484" s="42" t="str">
        <f t="shared" si="12"/>
        <v/>
      </c>
      <c r="K484" s="44" t="str">
        <f t="shared" si="13"/>
        <v/>
      </c>
      <c r="L484" s="81"/>
    </row>
    <row r="485" ht="15.0" customHeight="1">
      <c r="A485" s="83" t="str">
        <f t="shared" si="1"/>
        <v/>
      </c>
      <c r="B485" s="99"/>
      <c r="C485" s="85" t="str">
        <f>IFERROR(VLOOKUP(B485,'Loan Master'!A5:S52,2,FALSE()),"")</f>
        <v/>
      </c>
      <c r="D485" s="99"/>
      <c r="E485" s="87"/>
      <c r="F485" s="88" t="str">
        <f>IFERROR(VLOOKUP(B485,'Loan Master'!A5:S52,17,FALSE()),"")</f>
        <v/>
      </c>
      <c r="G485" s="89"/>
      <c r="H485" s="87"/>
      <c r="I485" s="99"/>
      <c r="J485" s="102" t="str">
        <f t="shared" si="12"/>
        <v/>
      </c>
      <c r="K485" s="100" t="str">
        <f t="shared" si="13"/>
        <v/>
      </c>
      <c r="L485" s="92"/>
    </row>
    <row r="486" ht="15.0" customHeight="1">
      <c r="A486" s="36" t="str">
        <f t="shared" si="1"/>
        <v/>
      </c>
      <c r="B486" s="37"/>
      <c r="C486" s="75" t="str">
        <f>IFERROR(VLOOKUP(B486,'Loan Master'!A5:S52,2,FALSE()),"")</f>
        <v/>
      </c>
      <c r="D486" s="37"/>
      <c r="E486" s="61"/>
      <c r="F486" s="77" t="str">
        <f>IFERROR(VLOOKUP(B486,'Loan Master'!A5:S52,17,FALSE()),"")</f>
        <v/>
      </c>
      <c r="G486" s="39"/>
      <c r="H486" s="61"/>
      <c r="I486" s="37"/>
      <c r="J486" s="42" t="str">
        <f t="shared" si="12"/>
        <v/>
      </c>
      <c r="K486" s="44" t="str">
        <f t="shared" si="13"/>
        <v/>
      </c>
      <c r="L486" s="81"/>
    </row>
    <row r="487" ht="15.0" customHeight="1">
      <c r="A487" s="83" t="str">
        <f t="shared" si="1"/>
        <v/>
      </c>
      <c r="B487" s="99"/>
      <c r="C487" s="85" t="str">
        <f>IFERROR(VLOOKUP(B487,'Loan Master'!A5:S52,2,FALSE()),"")</f>
        <v/>
      </c>
      <c r="D487" s="99"/>
      <c r="E487" s="87"/>
      <c r="F487" s="88" t="str">
        <f>IFERROR(VLOOKUP(B487,'Loan Master'!A5:S52,17,FALSE()),"")</f>
        <v/>
      </c>
      <c r="G487" s="89"/>
      <c r="H487" s="87"/>
      <c r="I487" s="99"/>
      <c r="J487" s="102" t="str">
        <f t="shared" si="12"/>
        <v/>
      </c>
      <c r="K487" s="100" t="str">
        <f t="shared" si="13"/>
        <v/>
      </c>
      <c r="L487" s="92"/>
    </row>
    <row r="488" ht="15.0" customHeight="1">
      <c r="A488" s="36" t="str">
        <f t="shared" si="1"/>
        <v/>
      </c>
      <c r="B488" s="37"/>
      <c r="C488" s="75" t="str">
        <f>IFERROR(VLOOKUP(B488,'Loan Master'!A5:S52,2,FALSE()),"")</f>
        <v/>
      </c>
      <c r="D488" s="37"/>
      <c r="E488" s="61"/>
      <c r="F488" s="77" t="str">
        <f>IFERROR(VLOOKUP(B488,'Loan Master'!A5:S52,17,FALSE()),"")</f>
        <v/>
      </c>
      <c r="G488" s="39"/>
      <c r="H488" s="61"/>
      <c r="I488" s="37"/>
      <c r="J488" s="42" t="str">
        <f t="shared" si="12"/>
        <v/>
      </c>
      <c r="K488" s="44" t="str">
        <f t="shared" si="13"/>
        <v/>
      </c>
      <c r="L488" s="81"/>
    </row>
    <row r="489" ht="15.0" customHeight="1">
      <c r="A489" s="83" t="str">
        <f t="shared" si="1"/>
        <v/>
      </c>
      <c r="B489" s="99"/>
      <c r="C489" s="85" t="str">
        <f>IFERROR(VLOOKUP(B489,'Loan Master'!A5:S52,2,FALSE()),"")</f>
        <v/>
      </c>
      <c r="D489" s="99"/>
      <c r="E489" s="87"/>
      <c r="F489" s="88" t="str">
        <f>IFERROR(VLOOKUP(B489,'Loan Master'!A5:S52,17,FALSE()),"")</f>
        <v/>
      </c>
      <c r="G489" s="89"/>
      <c r="H489" s="87"/>
      <c r="I489" s="99"/>
      <c r="J489" s="102" t="str">
        <f t="shared" si="12"/>
        <v/>
      </c>
      <c r="K489" s="100" t="str">
        <f t="shared" si="13"/>
        <v/>
      </c>
      <c r="L489" s="92"/>
    </row>
    <row r="490" ht="15.0" customHeight="1">
      <c r="A490" s="36" t="str">
        <f t="shared" si="1"/>
        <v/>
      </c>
      <c r="B490" s="37"/>
      <c r="C490" s="75" t="str">
        <f>IFERROR(VLOOKUP(B490,'Loan Master'!A5:S52,2,FALSE()),"")</f>
        <v/>
      </c>
      <c r="D490" s="37"/>
      <c r="E490" s="61"/>
      <c r="F490" s="77" t="str">
        <f>IFERROR(VLOOKUP(B490,'Loan Master'!A5:S52,17,FALSE()),"")</f>
        <v/>
      </c>
      <c r="G490" s="39"/>
      <c r="H490" s="61"/>
      <c r="I490" s="37"/>
      <c r="J490" s="42" t="str">
        <f t="shared" si="12"/>
        <v/>
      </c>
      <c r="K490" s="44" t="str">
        <f t="shared" si="13"/>
        <v/>
      </c>
      <c r="L490" s="81"/>
    </row>
    <row r="491" ht="15.0" customHeight="1">
      <c r="A491" s="83" t="str">
        <f t="shared" si="1"/>
        <v/>
      </c>
      <c r="B491" s="99"/>
      <c r="C491" s="85" t="str">
        <f>IFERROR(VLOOKUP(B491,'Loan Master'!A5:S52,2,FALSE()),"")</f>
        <v/>
      </c>
      <c r="D491" s="99"/>
      <c r="E491" s="87"/>
      <c r="F491" s="88" t="str">
        <f>IFERROR(VLOOKUP(B491,'Loan Master'!A5:S52,17,FALSE()),"")</f>
        <v/>
      </c>
      <c r="G491" s="89"/>
      <c r="H491" s="87"/>
      <c r="I491" s="99"/>
      <c r="J491" s="102" t="str">
        <f t="shared" si="12"/>
        <v/>
      </c>
      <c r="K491" s="100" t="str">
        <f t="shared" si="13"/>
        <v/>
      </c>
      <c r="L491" s="92"/>
    </row>
    <row r="492" ht="15.0" customHeight="1">
      <c r="A492" s="36" t="str">
        <f t="shared" si="1"/>
        <v/>
      </c>
      <c r="B492" s="37"/>
      <c r="C492" s="75" t="str">
        <f>IFERROR(VLOOKUP(B492,'Loan Master'!A5:S52,2,FALSE()),"")</f>
        <v/>
      </c>
      <c r="D492" s="37"/>
      <c r="E492" s="61"/>
      <c r="F492" s="77" t="str">
        <f>IFERROR(VLOOKUP(B492,'Loan Master'!A5:S52,17,FALSE()),"")</f>
        <v/>
      </c>
      <c r="G492" s="39"/>
      <c r="H492" s="61"/>
      <c r="I492" s="37"/>
      <c r="J492" s="42" t="str">
        <f t="shared" si="12"/>
        <v/>
      </c>
      <c r="K492" s="44" t="str">
        <f t="shared" si="13"/>
        <v/>
      </c>
      <c r="L492" s="81"/>
    </row>
    <row r="493" ht="15.0" customHeight="1">
      <c r="A493" s="83" t="str">
        <f t="shared" si="1"/>
        <v/>
      </c>
      <c r="B493" s="99"/>
      <c r="C493" s="85" t="str">
        <f>IFERROR(VLOOKUP(B493,'Loan Master'!A5:S52,2,FALSE()),"")</f>
        <v/>
      </c>
      <c r="D493" s="99"/>
      <c r="E493" s="87"/>
      <c r="F493" s="88" t="str">
        <f>IFERROR(VLOOKUP(B493,'Loan Master'!A5:S52,17,FALSE()),"")</f>
        <v/>
      </c>
      <c r="G493" s="89"/>
      <c r="H493" s="87"/>
      <c r="I493" s="99"/>
      <c r="J493" s="102" t="str">
        <f t="shared" si="12"/>
        <v/>
      </c>
      <c r="K493" s="100" t="str">
        <f t="shared" si="13"/>
        <v/>
      </c>
      <c r="L493" s="92"/>
    </row>
    <row r="494" ht="15.0" customHeight="1">
      <c r="A494" s="36" t="str">
        <f t="shared" si="1"/>
        <v/>
      </c>
      <c r="B494" s="37"/>
      <c r="C494" s="75" t="str">
        <f>IFERROR(VLOOKUP(B494,'Loan Master'!A5:S52,2,FALSE()),"")</f>
        <v/>
      </c>
      <c r="D494" s="37"/>
      <c r="E494" s="61"/>
      <c r="F494" s="77" t="str">
        <f>IFERROR(VLOOKUP(B494,'Loan Master'!A5:S52,17,FALSE()),"")</f>
        <v/>
      </c>
      <c r="G494" s="39"/>
      <c r="H494" s="61"/>
      <c r="I494" s="37"/>
      <c r="J494" s="42" t="str">
        <f t="shared" si="12"/>
        <v/>
      </c>
      <c r="K494" s="44" t="str">
        <f t="shared" si="13"/>
        <v/>
      </c>
      <c r="L494" s="81"/>
    </row>
    <row r="495" ht="15.0" customHeight="1">
      <c r="A495" s="83" t="str">
        <f t="shared" si="1"/>
        <v/>
      </c>
      <c r="B495" s="99"/>
      <c r="C495" s="85" t="str">
        <f>IFERROR(VLOOKUP(B495,'Loan Master'!A5:S52,2,FALSE()),"")</f>
        <v/>
      </c>
      <c r="D495" s="99"/>
      <c r="E495" s="87"/>
      <c r="F495" s="88" t="str">
        <f>IFERROR(VLOOKUP(B495,'Loan Master'!A5:S52,17,FALSE()),"")</f>
        <v/>
      </c>
      <c r="G495" s="89"/>
      <c r="H495" s="87"/>
      <c r="I495" s="99"/>
      <c r="J495" s="102" t="str">
        <f t="shared" si="12"/>
        <v/>
      </c>
      <c r="K495" s="100" t="str">
        <f t="shared" si="13"/>
        <v/>
      </c>
      <c r="L495" s="92"/>
    </row>
    <row r="496" ht="15.0" customHeight="1">
      <c r="A496" s="36" t="str">
        <f t="shared" si="1"/>
        <v/>
      </c>
      <c r="B496" s="37"/>
      <c r="C496" s="75" t="str">
        <f>IFERROR(VLOOKUP(B496,'Loan Master'!A5:S52,2,FALSE()),"")</f>
        <v/>
      </c>
      <c r="D496" s="37"/>
      <c r="E496" s="61"/>
      <c r="F496" s="77" t="str">
        <f>IFERROR(VLOOKUP(B496,'Loan Master'!A5:S52,17,FALSE()),"")</f>
        <v/>
      </c>
      <c r="G496" s="39"/>
      <c r="H496" s="61"/>
      <c r="I496" s="37"/>
      <c r="J496" s="42" t="str">
        <f t="shared" si="12"/>
        <v/>
      </c>
      <c r="K496" s="44" t="str">
        <f t="shared" si="13"/>
        <v/>
      </c>
      <c r="L496" s="81"/>
    </row>
    <row r="497" ht="15.0" customHeight="1">
      <c r="A497" s="83" t="str">
        <f t="shared" si="1"/>
        <v/>
      </c>
      <c r="B497" s="99"/>
      <c r="C497" s="85" t="str">
        <f>IFERROR(VLOOKUP(B497,'Loan Master'!A5:S52,2,FALSE()),"")</f>
        <v/>
      </c>
      <c r="D497" s="99"/>
      <c r="E497" s="87"/>
      <c r="F497" s="88" t="str">
        <f>IFERROR(VLOOKUP(B497,'Loan Master'!A5:S52,17,FALSE()),"")</f>
        <v/>
      </c>
      <c r="G497" s="89"/>
      <c r="H497" s="87"/>
      <c r="I497" s="99"/>
      <c r="J497" s="102" t="str">
        <f t="shared" si="12"/>
        <v/>
      </c>
      <c r="K497" s="100" t="str">
        <f t="shared" si="13"/>
        <v/>
      </c>
      <c r="L497" s="92"/>
    </row>
    <row r="498" ht="15.0" customHeight="1">
      <c r="A498" s="36" t="str">
        <f t="shared" si="1"/>
        <v/>
      </c>
      <c r="B498" s="37"/>
      <c r="C498" s="75" t="str">
        <f>IFERROR(VLOOKUP(B498,'Loan Master'!A5:S52,2,FALSE()),"")</f>
        <v/>
      </c>
      <c r="D498" s="37"/>
      <c r="E498" s="61"/>
      <c r="F498" s="77" t="str">
        <f>IFERROR(VLOOKUP(B498,'Loan Master'!A5:S52,17,FALSE()),"")</f>
        <v/>
      </c>
      <c r="G498" s="39"/>
      <c r="H498" s="61"/>
      <c r="I498" s="37"/>
      <c r="J498" s="42" t="str">
        <f t="shared" si="12"/>
        <v/>
      </c>
      <c r="K498" s="44" t="str">
        <f t="shared" si="13"/>
        <v/>
      </c>
      <c r="L498" s="81"/>
    </row>
    <row r="499" ht="15.0" customHeight="1">
      <c r="A499" s="83" t="str">
        <f t="shared" si="1"/>
        <v/>
      </c>
      <c r="B499" s="99"/>
      <c r="C499" s="85" t="str">
        <f>IFERROR(VLOOKUP(B499,'Loan Master'!A5:S52,2,FALSE()),"")</f>
        <v/>
      </c>
      <c r="D499" s="99"/>
      <c r="E499" s="87"/>
      <c r="F499" s="88" t="str">
        <f>IFERROR(VLOOKUP(B499,'Loan Master'!A5:S52,17,FALSE()),"")</f>
        <v/>
      </c>
      <c r="G499" s="89"/>
      <c r="H499" s="87"/>
      <c r="I499" s="99"/>
      <c r="J499" s="102" t="str">
        <f t="shared" si="12"/>
        <v/>
      </c>
      <c r="K499" s="100" t="str">
        <f t="shared" si="13"/>
        <v/>
      </c>
      <c r="L499" s="92"/>
    </row>
    <row r="500" ht="15.0" customHeight="1">
      <c r="A500" s="36" t="str">
        <f t="shared" si="1"/>
        <v/>
      </c>
      <c r="B500" s="37"/>
      <c r="C500" s="75" t="str">
        <f>IFERROR(VLOOKUP(B500,'Loan Master'!A5:S52,2,FALSE()),"")</f>
        <v/>
      </c>
      <c r="D500" s="37"/>
      <c r="E500" s="61"/>
      <c r="F500" s="77" t="str">
        <f>IFERROR(VLOOKUP(B500,'Loan Master'!A5:S52,17,FALSE()),"")</f>
        <v/>
      </c>
      <c r="G500" s="39"/>
      <c r="H500" s="61"/>
      <c r="I500" s="37"/>
      <c r="J500" s="42" t="str">
        <f t="shared" si="12"/>
        <v/>
      </c>
      <c r="K500" s="44" t="str">
        <f t="shared" si="13"/>
        <v/>
      </c>
      <c r="L500" s="81"/>
    </row>
    <row r="501" ht="15.0" customHeight="1">
      <c r="A501" s="83" t="str">
        <f t="shared" si="1"/>
        <v/>
      </c>
      <c r="B501" s="99"/>
      <c r="C501" s="85" t="str">
        <f>IFERROR(VLOOKUP(B501,'Loan Master'!A5:S52,2,FALSE()),"")</f>
        <v/>
      </c>
      <c r="D501" s="99"/>
      <c r="E501" s="87"/>
      <c r="F501" s="88" t="str">
        <f>IFERROR(VLOOKUP(B501,'Loan Master'!A5:S52,17,FALSE()),"")</f>
        <v/>
      </c>
      <c r="G501" s="89"/>
      <c r="H501" s="87"/>
      <c r="I501" s="99"/>
      <c r="J501" s="102" t="str">
        <f t="shared" si="12"/>
        <v/>
      </c>
      <c r="K501" s="100" t="str">
        <f t="shared" si="13"/>
        <v/>
      </c>
      <c r="L501" s="9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7.25" customHeight="1">
      <c r="A504" s="103" t="s">
        <v>117</v>
      </c>
      <c r="B504" s="66"/>
      <c r="C504" s="66"/>
      <c r="D504" s="66"/>
      <c r="E504" s="67"/>
      <c r="F504" s="2"/>
      <c r="G504" s="2"/>
      <c r="H504" s="2"/>
      <c r="I504" s="2"/>
      <c r="J504" s="2"/>
      <c r="K504" s="2"/>
      <c r="L504" s="2"/>
    </row>
    <row r="505" ht="15.0" customHeight="1">
      <c r="A505" s="70" t="s">
        <v>118</v>
      </c>
      <c r="B505" s="29"/>
      <c r="C505" s="29"/>
      <c r="D505" s="29"/>
      <c r="E505" s="104">
        <f>SUM(F5:F501)</f>
        <v>61250</v>
      </c>
      <c r="F505" s="2"/>
      <c r="G505" s="2"/>
      <c r="H505" s="2"/>
      <c r="I505" s="2"/>
      <c r="J505" s="2"/>
      <c r="K505" s="2"/>
      <c r="L505" s="2"/>
    </row>
    <row r="506" ht="15.0" customHeight="1">
      <c r="A506" s="70" t="s">
        <v>119</v>
      </c>
      <c r="B506" s="29"/>
      <c r="C506" s="29"/>
      <c r="D506" s="29"/>
      <c r="E506" s="104">
        <f>SUM(G5:G501)</f>
        <v>4500</v>
      </c>
      <c r="F506" s="2"/>
      <c r="G506" s="2"/>
      <c r="H506" s="2"/>
      <c r="I506" s="2"/>
      <c r="J506" s="2"/>
      <c r="K506" s="2"/>
      <c r="L506" s="2"/>
    </row>
    <row r="507" ht="15.0" customHeight="1">
      <c r="A507" s="70" t="s">
        <v>120</v>
      </c>
      <c r="B507" s="29"/>
      <c r="C507" s="29"/>
      <c r="D507" s="29"/>
      <c r="E507" s="104">
        <f>SUM(K5:K501)</f>
        <v>0</v>
      </c>
      <c r="F507" s="2"/>
      <c r="G507" s="2"/>
      <c r="H507" s="2"/>
      <c r="I507" s="2"/>
      <c r="J507" s="2"/>
      <c r="K507" s="2"/>
      <c r="L507" s="2"/>
    </row>
    <row r="508" ht="15.0" customHeight="1">
      <c r="A508" s="70" t="s">
        <v>121</v>
      </c>
      <c r="B508" s="29"/>
      <c r="C508" s="29"/>
      <c r="D508" s="29"/>
      <c r="E508" s="105">
        <f>COUNTIF(I5:I501,"Received")</f>
        <v>0</v>
      </c>
      <c r="F508" s="2"/>
      <c r="G508" s="2"/>
      <c r="H508" s="2"/>
      <c r="I508" s="2"/>
      <c r="J508" s="2"/>
      <c r="K508" s="2"/>
      <c r="L508" s="2"/>
    </row>
    <row r="509" ht="15.0" customHeight="1">
      <c r="A509" s="70" t="s">
        <v>122</v>
      </c>
      <c r="B509" s="29"/>
      <c r="C509" s="29"/>
      <c r="D509" s="29"/>
      <c r="E509" s="105">
        <f>COUNTIF(I5:I501,"Overdue")</f>
        <v>0</v>
      </c>
      <c r="F509" s="2"/>
      <c r="G509" s="2"/>
      <c r="H509" s="2"/>
      <c r="I509" s="2"/>
      <c r="J509" s="2"/>
      <c r="K509" s="2"/>
      <c r="L509" s="2"/>
    </row>
    <row r="510" ht="15.0" customHeight="1">
      <c r="A510" s="70" t="s">
        <v>123</v>
      </c>
      <c r="B510" s="29"/>
      <c r="C510" s="29"/>
      <c r="D510" s="29"/>
      <c r="E510" s="105">
        <f>COUNTIF(I5:I501,"Partial")</f>
        <v>0</v>
      </c>
      <c r="F510" s="2"/>
      <c r="G510" s="2"/>
      <c r="H510" s="2"/>
      <c r="I510" s="2"/>
      <c r="J510" s="2"/>
      <c r="K510" s="2"/>
      <c r="L510" s="2"/>
    </row>
    <row r="511" ht="15.0" customHeight="1">
      <c r="A511" s="70" t="s">
        <v>124</v>
      </c>
      <c r="B511" s="29"/>
      <c r="C511" s="29"/>
      <c r="D511" s="29"/>
      <c r="E511" s="105">
        <f>COUNTIF(I5:I501,"Pending")</f>
        <v>0</v>
      </c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</sheetData>
  <autoFilter ref="$A$4:$L$501"/>
  <mergeCells count="10">
    <mergeCell ref="A509:D509"/>
    <mergeCell ref="A510:D510"/>
    <mergeCell ref="A511:D511"/>
    <mergeCell ref="A1:L1"/>
    <mergeCell ref="A2:L2"/>
    <mergeCell ref="A504:E504"/>
    <mergeCell ref="A505:D505"/>
    <mergeCell ref="A506:D506"/>
    <mergeCell ref="A507:D507"/>
    <mergeCell ref="A508:D508"/>
  </mergeCells>
  <conditionalFormatting sqref="I6:I501">
    <cfRule type="cellIs" dxfId="0" priority="1" operator="equal">
      <formula>"Received"</formula>
    </cfRule>
  </conditionalFormatting>
  <conditionalFormatting sqref="I6:I501">
    <cfRule type="cellIs" dxfId="1" priority="2" operator="equal">
      <formula>"Overdue"</formula>
    </cfRule>
  </conditionalFormatting>
  <conditionalFormatting sqref="I6:I501">
    <cfRule type="cellIs" dxfId="3" priority="3" operator="equal">
      <formula>"Pending"</formula>
    </cfRule>
  </conditionalFormatting>
  <conditionalFormatting sqref="I6:I501">
    <cfRule type="cellIs" dxfId="4" priority="4" operator="equal">
      <formula>"Partial"</formula>
    </cfRule>
  </conditionalFormatting>
  <conditionalFormatting sqref="J5:J501">
    <cfRule type="cellIs" dxfId="5" priority="5" operator="greaterThan">
      <formula>5</formula>
    </cfRule>
  </conditionalFormatting>
  <dataValidations>
    <dataValidation type="list" allowBlank="1" showInputMessage="1" showErrorMessage="1" prompt="Payment Status - Select payment status" sqref="K5:K197">
      <formula1>"Received,Partial,Pending,Overdue,Waived"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1C1C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10.0"/>
    <col customWidth="1" min="3" max="3" width="20.0"/>
    <col customWidth="1" min="4" max="4" width="16.0"/>
    <col customWidth="1" min="5" max="5" width="15.0"/>
    <col customWidth="1" min="6" max="6" width="11.0"/>
    <col customWidth="1" min="7" max="7" width="16.0"/>
    <col customWidth="1" min="8" max="8" width="15.0"/>
    <col customWidth="1" min="9" max="9" width="14.0"/>
    <col customWidth="1" min="10" max="10" width="35.0"/>
  </cols>
  <sheetData>
    <row r="1" ht="49.5" customHeight="1">
      <c r="A1" s="106" t="s">
        <v>125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4" t="s">
        <v>126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0" customHeight="1">
      <c r="A4" s="107" t="s">
        <v>83</v>
      </c>
      <c r="B4" s="107" t="s">
        <v>84</v>
      </c>
      <c r="C4" s="107" t="s">
        <v>85</v>
      </c>
      <c r="D4" s="107" t="s">
        <v>127</v>
      </c>
      <c r="E4" s="107" t="s">
        <v>128</v>
      </c>
      <c r="F4" s="107" t="s">
        <v>94</v>
      </c>
      <c r="G4" s="107" t="s">
        <v>129</v>
      </c>
      <c r="H4" s="107" t="s">
        <v>130</v>
      </c>
      <c r="I4" s="107" t="s">
        <v>131</v>
      </c>
      <c r="J4" s="107" t="s">
        <v>132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08">
        <v>1.0</v>
      </c>
      <c r="B5" s="55" t="s">
        <v>97</v>
      </c>
      <c r="C5" s="55" t="s">
        <v>57</v>
      </c>
      <c r="D5" s="37"/>
      <c r="E5" s="41">
        <v>46082.9375</v>
      </c>
      <c r="F5" s="108">
        <v>5.0</v>
      </c>
      <c r="G5" s="57">
        <v>2000.0</v>
      </c>
      <c r="H5" s="41">
        <v>46088.857016863425</v>
      </c>
      <c r="I5" s="55" t="s">
        <v>133</v>
      </c>
      <c r="J5" s="55" t="s">
        <v>134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09">
        <v>2.0</v>
      </c>
      <c r="B6" s="110" t="s">
        <v>99</v>
      </c>
      <c r="C6" s="110" t="s">
        <v>61</v>
      </c>
      <c r="D6" s="111"/>
      <c r="E6" s="112">
        <v>46083.9375</v>
      </c>
      <c r="F6" s="109">
        <v>5.0</v>
      </c>
      <c r="G6" s="113">
        <v>2000.0</v>
      </c>
      <c r="H6" s="112">
        <v>46089.89866922454</v>
      </c>
      <c r="I6" s="110" t="s">
        <v>133</v>
      </c>
      <c r="J6" s="110" t="s">
        <v>134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08">
        <v>3.0</v>
      </c>
      <c r="B7" s="55" t="s">
        <v>100</v>
      </c>
      <c r="C7" s="55" t="s">
        <v>61</v>
      </c>
      <c r="D7" s="37"/>
      <c r="E7" s="41">
        <v>46084.9375</v>
      </c>
      <c r="F7" s="108">
        <v>5.0</v>
      </c>
      <c r="G7" s="57">
        <v>1000.0</v>
      </c>
      <c r="H7" s="41">
        <v>46090.89891783565</v>
      </c>
      <c r="I7" s="55" t="s">
        <v>133</v>
      </c>
      <c r="J7" s="55" t="s">
        <v>134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09">
        <v>4.0</v>
      </c>
      <c r="B8" s="110" t="s">
        <v>114</v>
      </c>
      <c r="C8" s="110" t="s">
        <v>64</v>
      </c>
      <c r="D8" s="111"/>
      <c r="E8" s="112">
        <v>46084.9375</v>
      </c>
      <c r="F8" s="109">
        <v>5.0</v>
      </c>
      <c r="G8" s="113">
        <v>2000.0</v>
      </c>
      <c r="H8" s="112">
        <v>46090.89903151621</v>
      </c>
      <c r="I8" s="110" t="s">
        <v>133</v>
      </c>
      <c r="J8" s="110" t="s">
        <v>134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08">
        <v>5.0</v>
      </c>
      <c r="B9" s="55" t="s">
        <v>101</v>
      </c>
      <c r="C9" s="55" t="s">
        <v>46</v>
      </c>
      <c r="D9" s="114">
        <v>9.538422078E9</v>
      </c>
      <c r="E9" s="41">
        <v>46085.9375</v>
      </c>
      <c r="F9" s="108">
        <v>5.0</v>
      </c>
      <c r="G9" s="57">
        <v>5000.0</v>
      </c>
      <c r="H9" s="41">
        <v>46091.89873008102</v>
      </c>
      <c r="I9" s="55" t="s">
        <v>133</v>
      </c>
      <c r="J9" s="55" t="s">
        <v>134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09">
        <v>6.0</v>
      </c>
      <c r="B10" s="110" t="s">
        <v>102</v>
      </c>
      <c r="C10" s="110" t="s">
        <v>70</v>
      </c>
      <c r="D10" s="111"/>
      <c r="E10" s="112">
        <v>46085.9375</v>
      </c>
      <c r="F10" s="109">
        <v>5.0</v>
      </c>
      <c r="G10" s="113">
        <v>750.0</v>
      </c>
      <c r="H10" s="112">
        <v>46091.89877215278</v>
      </c>
      <c r="I10" s="110" t="s">
        <v>133</v>
      </c>
      <c r="J10" s="110" t="s">
        <v>134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08">
        <v>7.0</v>
      </c>
      <c r="B11" s="55" t="s">
        <v>115</v>
      </c>
      <c r="C11" s="55" t="s">
        <v>46</v>
      </c>
      <c r="D11" s="114">
        <v>9.538422078E9</v>
      </c>
      <c r="E11" s="41">
        <v>46085.9375</v>
      </c>
      <c r="F11" s="108">
        <v>5.0</v>
      </c>
      <c r="G11" s="57">
        <v>3749.9999999999995</v>
      </c>
      <c r="H11" s="41">
        <v>46091.89878834491</v>
      </c>
      <c r="I11" s="55" t="s">
        <v>133</v>
      </c>
      <c r="J11" s="55" t="s">
        <v>134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09">
        <v>8.0</v>
      </c>
      <c r="B12" s="110" t="s">
        <v>103</v>
      </c>
      <c r="C12" s="110" t="s">
        <v>62</v>
      </c>
      <c r="D12" s="111"/>
      <c r="E12" s="112">
        <v>46089.97916666667</v>
      </c>
      <c r="F12" s="109">
        <v>5.0</v>
      </c>
      <c r="G12" s="113">
        <v>1000.0</v>
      </c>
      <c r="H12" s="112">
        <v>46095.89866319444</v>
      </c>
      <c r="I12" s="110" t="s">
        <v>133</v>
      </c>
      <c r="J12" s="110" t="s">
        <v>134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8">
        <v>9.0</v>
      </c>
      <c r="B13" s="55" t="s">
        <v>104</v>
      </c>
      <c r="C13" s="55" t="s">
        <v>55</v>
      </c>
      <c r="D13" s="37"/>
      <c r="E13" s="41">
        <v>46091.97916666667</v>
      </c>
      <c r="F13" s="108">
        <v>5.0</v>
      </c>
      <c r="G13" s="57">
        <v>1000.0</v>
      </c>
      <c r="H13" s="41">
        <v>46097.89868079861</v>
      </c>
      <c r="I13" s="55" t="s">
        <v>133</v>
      </c>
      <c r="J13" s="55" t="s">
        <v>134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09">
        <v>10.0</v>
      </c>
      <c r="B14" s="110" t="s">
        <v>105</v>
      </c>
      <c r="C14" s="110" t="s">
        <v>64</v>
      </c>
      <c r="D14" s="111"/>
      <c r="E14" s="112">
        <v>46092.97916666667</v>
      </c>
      <c r="F14" s="109">
        <v>5.0</v>
      </c>
      <c r="G14" s="113">
        <v>1000.0</v>
      </c>
      <c r="H14" s="112">
        <v>46098.89865125</v>
      </c>
      <c r="I14" s="110" t="s">
        <v>133</v>
      </c>
      <c r="J14" s="110" t="s">
        <v>134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08">
        <v>11.0</v>
      </c>
      <c r="B15" s="55" t="s">
        <v>106</v>
      </c>
      <c r="C15" s="55" t="s">
        <v>51</v>
      </c>
      <c r="D15" s="37"/>
      <c r="E15" s="41">
        <v>46093.97916666667</v>
      </c>
      <c r="F15" s="108">
        <v>5.0</v>
      </c>
      <c r="G15" s="57">
        <v>1000.0</v>
      </c>
      <c r="H15" s="41">
        <v>46099.89865190972</v>
      </c>
      <c r="I15" s="55" t="s">
        <v>133</v>
      </c>
      <c r="J15" s="55" t="s">
        <v>134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09">
        <v>12.0</v>
      </c>
      <c r="B16" s="110" t="s">
        <v>107</v>
      </c>
      <c r="C16" s="110" t="s">
        <v>64</v>
      </c>
      <c r="D16" s="111"/>
      <c r="E16" s="112">
        <v>46093.97916666667</v>
      </c>
      <c r="F16" s="109">
        <v>5.0</v>
      </c>
      <c r="G16" s="113">
        <v>1000.0</v>
      </c>
      <c r="H16" s="112">
        <v>46099.89865876157</v>
      </c>
      <c r="I16" s="110" t="s">
        <v>133</v>
      </c>
      <c r="J16" s="110" t="s">
        <v>134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08">
        <v>13.0</v>
      </c>
      <c r="B17" s="55" t="s">
        <v>108</v>
      </c>
      <c r="C17" s="55" t="s">
        <v>58</v>
      </c>
      <c r="D17" s="114">
        <v>8.500254814E9</v>
      </c>
      <c r="E17" s="41">
        <v>46096.97916666667</v>
      </c>
      <c r="F17" s="108">
        <v>5.0</v>
      </c>
      <c r="G17" s="57">
        <v>1000.0</v>
      </c>
      <c r="H17" s="41">
        <v>46102.8986958912</v>
      </c>
      <c r="I17" s="55" t="s">
        <v>133</v>
      </c>
      <c r="J17" s="55" t="s">
        <v>134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09">
        <v>14.0</v>
      </c>
      <c r="B18" s="110" t="s">
        <v>109</v>
      </c>
      <c r="C18" s="110" t="s">
        <v>66</v>
      </c>
      <c r="D18" s="111"/>
      <c r="E18" s="112">
        <v>46097.97916666667</v>
      </c>
      <c r="F18" s="109">
        <v>5.0</v>
      </c>
      <c r="G18" s="113">
        <v>4000.0</v>
      </c>
      <c r="H18" s="112">
        <v>46103.89869284722</v>
      </c>
      <c r="I18" s="110" t="s">
        <v>133</v>
      </c>
      <c r="J18" s="110" t="s">
        <v>134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08">
        <v>15.0</v>
      </c>
      <c r="B19" s="55" t="s">
        <v>110</v>
      </c>
      <c r="C19" s="55" t="s">
        <v>60</v>
      </c>
      <c r="D19" s="114">
        <v>8.184914244E9</v>
      </c>
      <c r="E19" s="41">
        <v>46103.97916666667</v>
      </c>
      <c r="F19" s="108">
        <v>5.0</v>
      </c>
      <c r="G19" s="57">
        <v>1000.0</v>
      </c>
      <c r="H19" s="41">
        <v>46109.89866545139</v>
      </c>
      <c r="I19" s="55" t="s">
        <v>133</v>
      </c>
      <c r="J19" s="55" t="s">
        <v>134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09">
        <v>16.0</v>
      </c>
      <c r="B20" s="110" t="s">
        <v>111</v>
      </c>
      <c r="C20" s="110" t="s">
        <v>69</v>
      </c>
      <c r="D20" s="111"/>
      <c r="E20" s="112">
        <v>46103.97916666667</v>
      </c>
      <c r="F20" s="109">
        <v>5.0</v>
      </c>
      <c r="G20" s="113">
        <v>1000.0</v>
      </c>
      <c r="H20" s="112">
        <v>46109.898673171294</v>
      </c>
      <c r="I20" s="110" t="s">
        <v>133</v>
      </c>
      <c r="J20" s="110" t="s">
        <v>134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8">
        <v>17.0</v>
      </c>
      <c r="B21" s="55" t="s">
        <v>97</v>
      </c>
      <c r="C21" s="55" t="s">
        <v>57</v>
      </c>
      <c r="D21" s="37"/>
      <c r="E21" s="41">
        <v>46113.97916666667</v>
      </c>
      <c r="F21" s="108">
        <v>5.0</v>
      </c>
      <c r="G21" s="57">
        <v>2000.0</v>
      </c>
      <c r="H21" s="41">
        <v>46119.89873447917</v>
      </c>
      <c r="I21" s="55" t="s">
        <v>133</v>
      </c>
      <c r="J21" s="55" t="s">
        <v>134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9">
        <v>18.0</v>
      </c>
      <c r="B22" s="110" t="s">
        <v>99</v>
      </c>
      <c r="C22" s="110" t="s">
        <v>61</v>
      </c>
      <c r="D22" s="111"/>
      <c r="E22" s="112">
        <v>46114.97916666667</v>
      </c>
      <c r="F22" s="109">
        <v>5.0</v>
      </c>
      <c r="G22" s="113">
        <v>2000.0</v>
      </c>
      <c r="H22" s="112">
        <v>46120.89869726852</v>
      </c>
      <c r="I22" s="110" t="s">
        <v>133</v>
      </c>
      <c r="J22" s="110" t="s">
        <v>134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8">
        <v>19.0</v>
      </c>
      <c r="B23" s="55" t="s">
        <v>100</v>
      </c>
      <c r="C23" s="55" t="s">
        <v>61</v>
      </c>
      <c r="D23" s="37"/>
      <c r="E23" s="41">
        <v>46115.97916666667</v>
      </c>
      <c r="F23" s="108">
        <v>5.0</v>
      </c>
      <c r="G23" s="57">
        <v>1000.0</v>
      </c>
      <c r="H23" s="41">
        <v>46121.898710821755</v>
      </c>
      <c r="I23" s="55" t="s">
        <v>133</v>
      </c>
      <c r="J23" s="55" t="s">
        <v>134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9">
        <v>20.0</v>
      </c>
      <c r="B24" s="110" t="s">
        <v>114</v>
      </c>
      <c r="C24" s="110" t="s">
        <v>64</v>
      </c>
      <c r="D24" s="111"/>
      <c r="E24" s="112">
        <v>46115.97916666667</v>
      </c>
      <c r="F24" s="109">
        <v>5.0</v>
      </c>
      <c r="G24" s="113">
        <v>2000.0</v>
      </c>
      <c r="H24" s="112">
        <v>46121.898717199074</v>
      </c>
      <c r="I24" s="110" t="s">
        <v>133</v>
      </c>
      <c r="J24" s="110" t="s">
        <v>134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8">
        <v>21.0</v>
      </c>
      <c r="B25" s="55" t="s">
        <v>101</v>
      </c>
      <c r="C25" s="55" t="s">
        <v>46</v>
      </c>
      <c r="D25" s="114">
        <v>9.538422078E9</v>
      </c>
      <c r="E25" s="41">
        <v>46116.97916666667</v>
      </c>
      <c r="F25" s="108">
        <v>5.0</v>
      </c>
      <c r="G25" s="57">
        <v>5000.0</v>
      </c>
      <c r="H25" s="41">
        <v>46122.89865956019</v>
      </c>
      <c r="I25" s="55" t="s">
        <v>133</v>
      </c>
      <c r="J25" s="55" t="s">
        <v>134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9">
        <v>22.0</v>
      </c>
      <c r="B26" s="110" t="s">
        <v>102</v>
      </c>
      <c r="C26" s="110" t="s">
        <v>70</v>
      </c>
      <c r="D26" s="111"/>
      <c r="E26" s="112">
        <v>46116.97916666667</v>
      </c>
      <c r="F26" s="109">
        <v>5.0</v>
      </c>
      <c r="G26" s="113">
        <v>750.0</v>
      </c>
      <c r="H26" s="112">
        <v>46122.89867230324</v>
      </c>
      <c r="I26" s="110" t="s">
        <v>133</v>
      </c>
      <c r="J26" s="110" t="s">
        <v>134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8">
        <v>23.0</v>
      </c>
      <c r="B27" s="55" t="s">
        <v>115</v>
      </c>
      <c r="C27" s="55" t="s">
        <v>46</v>
      </c>
      <c r="D27" s="114">
        <v>9.538422078E9</v>
      </c>
      <c r="E27" s="41">
        <v>46116.97916666667</v>
      </c>
      <c r="F27" s="108">
        <v>5.0</v>
      </c>
      <c r="G27" s="57">
        <v>3749.9999999999995</v>
      </c>
      <c r="H27" s="41">
        <v>46122.89868157408</v>
      </c>
      <c r="I27" s="55" t="s">
        <v>133</v>
      </c>
      <c r="J27" s="55" t="s">
        <v>134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09">
        <v>24.0</v>
      </c>
      <c r="B28" s="110" t="s">
        <v>135</v>
      </c>
      <c r="C28" s="110" t="s">
        <v>64</v>
      </c>
      <c r="D28" s="111"/>
      <c r="E28" s="112">
        <v>46118.97916666667</v>
      </c>
      <c r="F28" s="109">
        <v>5.0</v>
      </c>
      <c r="G28" s="113">
        <v>2000.0</v>
      </c>
      <c r="H28" s="112">
        <v>46124.89866265046</v>
      </c>
      <c r="I28" s="110" t="s">
        <v>133</v>
      </c>
      <c r="J28" s="110" t="s">
        <v>134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08">
        <v>25.0</v>
      </c>
      <c r="B29" s="55" t="s">
        <v>103</v>
      </c>
      <c r="C29" s="55" t="s">
        <v>62</v>
      </c>
      <c r="D29" s="37"/>
      <c r="E29" s="41">
        <v>46120.97916666667</v>
      </c>
      <c r="F29" s="108">
        <v>5.0</v>
      </c>
      <c r="G29" s="57">
        <v>1000.0</v>
      </c>
      <c r="H29" s="41">
        <v>46126.89864961806</v>
      </c>
      <c r="I29" s="55" t="s">
        <v>133</v>
      </c>
      <c r="J29" s="55" t="s">
        <v>134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9">
        <v>26.0</v>
      </c>
      <c r="B30" s="110" t="s">
        <v>104</v>
      </c>
      <c r="C30" s="110" t="s">
        <v>55</v>
      </c>
      <c r="D30" s="111"/>
      <c r="E30" s="112">
        <v>46122.97916666667</v>
      </c>
      <c r="F30" s="109">
        <v>5.0</v>
      </c>
      <c r="G30" s="113">
        <v>1000.0</v>
      </c>
      <c r="H30" s="112">
        <v>46128.898652268515</v>
      </c>
      <c r="I30" s="110" t="s">
        <v>133</v>
      </c>
      <c r="J30" s="110" t="s">
        <v>134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3"/>
      <c r="B31" s="37"/>
      <c r="C31" s="37"/>
      <c r="D31" s="37"/>
      <c r="E31" s="61"/>
      <c r="F31" s="43"/>
      <c r="G31" s="39"/>
      <c r="H31" s="61"/>
      <c r="I31" s="37"/>
      <c r="J31" s="3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15"/>
      <c r="B32" s="111"/>
      <c r="C32" s="111"/>
      <c r="D32" s="111"/>
      <c r="E32" s="116"/>
      <c r="F32" s="115"/>
      <c r="G32" s="117"/>
      <c r="H32" s="116"/>
      <c r="I32" s="111"/>
      <c r="J32" s="11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3"/>
      <c r="B33" s="37"/>
      <c r="C33" s="37"/>
      <c r="D33" s="37"/>
      <c r="E33" s="61"/>
      <c r="F33" s="43"/>
      <c r="G33" s="39"/>
      <c r="H33" s="61"/>
      <c r="I33" s="37"/>
      <c r="J33" s="3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5"/>
      <c r="B34" s="111"/>
      <c r="C34" s="111"/>
      <c r="D34" s="111"/>
      <c r="E34" s="116"/>
      <c r="F34" s="115"/>
      <c r="G34" s="117"/>
      <c r="H34" s="116"/>
      <c r="I34" s="111"/>
      <c r="J34" s="11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3"/>
      <c r="B35" s="37"/>
      <c r="C35" s="37"/>
      <c r="D35" s="37"/>
      <c r="E35" s="61"/>
      <c r="F35" s="43"/>
      <c r="G35" s="39"/>
      <c r="H35" s="61"/>
      <c r="I35" s="37"/>
      <c r="J35" s="3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5"/>
      <c r="B36" s="111"/>
      <c r="C36" s="111"/>
      <c r="D36" s="111"/>
      <c r="E36" s="116"/>
      <c r="F36" s="115"/>
      <c r="G36" s="117"/>
      <c r="H36" s="116"/>
      <c r="I36" s="111"/>
      <c r="J36" s="11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3"/>
      <c r="B37" s="37"/>
      <c r="C37" s="37"/>
      <c r="D37" s="37"/>
      <c r="E37" s="61"/>
      <c r="F37" s="43"/>
      <c r="G37" s="39"/>
      <c r="H37" s="61"/>
      <c r="I37" s="37"/>
      <c r="J37" s="3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5"/>
      <c r="B38" s="111"/>
      <c r="C38" s="111"/>
      <c r="D38" s="111"/>
      <c r="E38" s="116"/>
      <c r="F38" s="115"/>
      <c r="G38" s="117"/>
      <c r="H38" s="116"/>
      <c r="I38" s="111"/>
      <c r="J38" s="11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3"/>
      <c r="B39" s="37"/>
      <c r="C39" s="37"/>
      <c r="D39" s="37"/>
      <c r="E39" s="61"/>
      <c r="F39" s="43"/>
      <c r="G39" s="39"/>
      <c r="H39" s="61"/>
      <c r="I39" s="37"/>
      <c r="J39" s="3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15"/>
      <c r="B40" s="111"/>
      <c r="C40" s="111"/>
      <c r="D40" s="111"/>
      <c r="E40" s="116"/>
      <c r="F40" s="115"/>
      <c r="G40" s="117"/>
      <c r="H40" s="116"/>
      <c r="I40" s="111"/>
      <c r="J40" s="11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3"/>
      <c r="B41" s="37"/>
      <c r="C41" s="37"/>
      <c r="D41" s="37"/>
      <c r="E41" s="61"/>
      <c r="F41" s="43"/>
      <c r="G41" s="39"/>
      <c r="H41" s="61"/>
      <c r="I41" s="37"/>
      <c r="J41" s="3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15"/>
      <c r="B42" s="111"/>
      <c r="C42" s="111"/>
      <c r="D42" s="111"/>
      <c r="E42" s="116"/>
      <c r="F42" s="115"/>
      <c r="G42" s="117"/>
      <c r="H42" s="116"/>
      <c r="I42" s="111"/>
      <c r="J42" s="11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3"/>
      <c r="B43" s="37"/>
      <c r="C43" s="37"/>
      <c r="D43" s="37"/>
      <c r="E43" s="61"/>
      <c r="F43" s="43"/>
      <c r="G43" s="39"/>
      <c r="H43" s="61"/>
      <c r="I43" s="37"/>
      <c r="J43" s="3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5"/>
      <c r="B44" s="111"/>
      <c r="C44" s="111"/>
      <c r="D44" s="111"/>
      <c r="E44" s="116"/>
      <c r="F44" s="115"/>
      <c r="G44" s="117"/>
      <c r="H44" s="116"/>
      <c r="I44" s="111"/>
      <c r="J44" s="11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3"/>
      <c r="B45" s="37"/>
      <c r="C45" s="37"/>
      <c r="D45" s="37"/>
      <c r="E45" s="61"/>
      <c r="F45" s="43"/>
      <c r="G45" s="39"/>
      <c r="H45" s="61"/>
      <c r="I45" s="37"/>
      <c r="J45" s="3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5"/>
      <c r="B46" s="111"/>
      <c r="C46" s="111"/>
      <c r="D46" s="111"/>
      <c r="E46" s="116"/>
      <c r="F46" s="115"/>
      <c r="G46" s="117"/>
      <c r="H46" s="116"/>
      <c r="I46" s="111"/>
      <c r="J46" s="11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3"/>
      <c r="B47" s="37"/>
      <c r="C47" s="37"/>
      <c r="D47" s="37"/>
      <c r="E47" s="61"/>
      <c r="F47" s="43"/>
      <c r="G47" s="39"/>
      <c r="H47" s="61"/>
      <c r="I47" s="37"/>
      <c r="J47" s="3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5"/>
      <c r="B48" s="111"/>
      <c r="C48" s="111"/>
      <c r="D48" s="111"/>
      <c r="E48" s="116"/>
      <c r="F48" s="115"/>
      <c r="G48" s="117"/>
      <c r="H48" s="116"/>
      <c r="I48" s="111"/>
      <c r="J48" s="11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3"/>
      <c r="B49" s="37"/>
      <c r="C49" s="37"/>
      <c r="D49" s="37"/>
      <c r="E49" s="61"/>
      <c r="F49" s="43"/>
      <c r="G49" s="39"/>
      <c r="H49" s="61"/>
      <c r="I49" s="37"/>
      <c r="J49" s="3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5"/>
      <c r="B50" s="111"/>
      <c r="C50" s="111"/>
      <c r="D50" s="111"/>
      <c r="E50" s="116"/>
      <c r="F50" s="115"/>
      <c r="G50" s="117"/>
      <c r="H50" s="116"/>
      <c r="I50" s="111"/>
      <c r="J50" s="11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3"/>
      <c r="B51" s="37"/>
      <c r="C51" s="37"/>
      <c r="D51" s="37"/>
      <c r="E51" s="61"/>
      <c r="F51" s="43"/>
      <c r="G51" s="39"/>
      <c r="H51" s="61"/>
      <c r="I51" s="37"/>
      <c r="J51" s="3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5"/>
      <c r="B52" s="111"/>
      <c r="C52" s="111"/>
      <c r="D52" s="111"/>
      <c r="E52" s="116"/>
      <c r="F52" s="115"/>
      <c r="G52" s="117"/>
      <c r="H52" s="116"/>
      <c r="I52" s="111"/>
      <c r="J52" s="11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3"/>
      <c r="B53" s="37"/>
      <c r="C53" s="37"/>
      <c r="D53" s="37"/>
      <c r="E53" s="61"/>
      <c r="F53" s="43"/>
      <c r="G53" s="39"/>
      <c r="H53" s="61"/>
      <c r="I53" s="37"/>
      <c r="J53" s="3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5"/>
      <c r="B54" s="111"/>
      <c r="C54" s="111"/>
      <c r="D54" s="111"/>
      <c r="E54" s="116"/>
      <c r="F54" s="115"/>
      <c r="G54" s="117"/>
      <c r="H54" s="116"/>
      <c r="I54" s="111"/>
      <c r="J54" s="11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J1"/>
    <mergeCell ref="A2:J2"/>
  </mergeCells>
  <dataValidations>
    <dataValidation type="list" allowBlank="1" sqref="I5:I54">
      <formula1>"Email,Phone Call,WhatsApp,SMS,In Person"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90.0"/>
    <col customWidth="1" min="3" max="26" width="8.71"/>
  </cols>
  <sheetData>
    <row r="1" ht="45.0" customHeight="1">
      <c r="A1" s="118" t="s">
        <v>136</v>
      </c>
      <c r="B1" s="67"/>
    </row>
    <row r="2">
      <c r="A2" s="2"/>
      <c r="B2" s="2"/>
    </row>
    <row r="3" ht="24.75" customHeight="1">
      <c r="A3" s="2"/>
      <c r="B3" s="119" t="s">
        <v>137</v>
      </c>
    </row>
    <row r="4" ht="9.75" customHeight="1">
      <c r="A4" s="2"/>
      <c r="B4" s="120"/>
    </row>
    <row r="5" ht="24.75" customHeight="1">
      <c r="A5" s="2"/>
      <c r="B5" s="121" t="s">
        <v>138</v>
      </c>
    </row>
    <row r="6" ht="21.75" customHeight="1">
      <c r="A6" s="2"/>
      <c r="B6" s="122" t="s">
        <v>139</v>
      </c>
    </row>
    <row r="7" ht="21.75" customHeight="1">
      <c r="A7" s="2"/>
      <c r="B7" s="122" t="s">
        <v>140</v>
      </c>
    </row>
    <row r="8" ht="9.75" customHeight="1">
      <c r="A8" s="2"/>
      <c r="B8" s="120"/>
    </row>
    <row r="9" ht="24.75" customHeight="1">
      <c r="A9" s="2"/>
      <c r="B9" s="121" t="s">
        <v>141</v>
      </c>
    </row>
    <row r="10" ht="21.75" customHeight="1">
      <c r="A10" s="2"/>
      <c r="B10" s="122" t="s">
        <v>142</v>
      </c>
    </row>
    <row r="11" ht="21.75" customHeight="1">
      <c r="A11" s="2"/>
      <c r="B11" s="122" t="s">
        <v>143</v>
      </c>
    </row>
    <row r="12" ht="21.75" customHeight="1">
      <c r="A12" s="2"/>
      <c r="B12" s="122" t="s">
        <v>144</v>
      </c>
    </row>
    <row r="13" ht="21.75" customHeight="1">
      <c r="A13" s="2"/>
      <c r="B13" s="122" t="s">
        <v>145</v>
      </c>
    </row>
    <row r="14" ht="9.75" customHeight="1">
      <c r="A14" s="2"/>
      <c r="B14" s="120"/>
    </row>
    <row r="15" ht="24.75" customHeight="1">
      <c r="A15" s="2"/>
      <c r="B15" s="121" t="s">
        <v>146</v>
      </c>
    </row>
    <row r="16" ht="21.75" customHeight="1">
      <c r="A16" s="2"/>
      <c r="B16" s="122" t="s">
        <v>147</v>
      </c>
    </row>
    <row r="17" ht="21.75" customHeight="1">
      <c r="A17" s="2"/>
      <c r="B17" s="122" t="s">
        <v>148</v>
      </c>
    </row>
    <row r="18" ht="21.75" customHeight="1">
      <c r="A18" s="2"/>
      <c r="B18" s="122" t="s">
        <v>149</v>
      </c>
    </row>
    <row r="19" ht="21.75" customHeight="1">
      <c r="A19" s="2"/>
      <c r="B19" s="122" t="s">
        <v>150</v>
      </c>
    </row>
    <row r="20" ht="9.75" customHeight="1">
      <c r="A20" s="2"/>
      <c r="B20" s="120"/>
    </row>
    <row r="21" ht="24.75" customHeight="1">
      <c r="A21" s="2"/>
      <c r="B21" s="121" t="s">
        <v>151</v>
      </c>
    </row>
    <row r="22" ht="21.75" customHeight="1">
      <c r="A22" s="2"/>
      <c r="B22" s="122" t="s">
        <v>152</v>
      </c>
    </row>
    <row r="23" ht="21.75" customHeight="1">
      <c r="A23" s="2"/>
      <c r="B23" s="122" t="s">
        <v>153</v>
      </c>
    </row>
    <row r="24" ht="21.75" customHeight="1">
      <c r="A24" s="2"/>
      <c r="B24" s="122" t="s">
        <v>154</v>
      </c>
    </row>
    <row r="25" ht="9.75" customHeight="1">
      <c r="A25" s="2"/>
      <c r="B25" s="120"/>
    </row>
    <row r="26" ht="24.75" customHeight="1">
      <c r="A26" s="2"/>
      <c r="B26" s="121" t="s">
        <v>155</v>
      </c>
    </row>
    <row r="27" ht="21.75" customHeight="1">
      <c r="A27" s="2"/>
      <c r="B27" s="123" t="s">
        <v>156</v>
      </c>
    </row>
    <row r="28" ht="21.75" customHeight="1">
      <c r="A28" s="2"/>
      <c r="B28" s="123" t="s">
        <v>157</v>
      </c>
    </row>
    <row r="29" ht="21.75" customHeight="1">
      <c r="A29" s="2"/>
      <c r="B29" s="123" t="s">
        <v>158</v>
      </c>
    </row>
    <row r="30" ht="21.75" customHeight="1">
      <c r="A30" s="2"/>
      <c r="B30" s="123" t="s">
        <v>159</v>
      </c>
    </row>
    <row r="31" ht="21.75" customHeight="1">
      <c r="A31" s="2"/>
      <c r="B31" s="123" t="s">
        <v>160</v>
      </c>
    </row>
    <row r="32" ht="21.75" customHeight="1">
      <c r="A32" s="2"/>
      <c r="B32" s="123" t="s">
        <v>161</v>
      </c>
    </row>
    <row r="33" ht="9.75" customHeight="1">
      <c r="A33" s="2"/>
      <c r="B33" s="120"/>
    </row>
    <row r="34" ht="24.75" customHeight="1">
      <c r="A34" s="2"/>
      <c r="B34" s="121" t="s">
        <v>162</v>
      </c>
    </row>
    <row r="35" ht="24.75" customHeight="1">
      <c r="A35" s="2"/>
      <c r="B35" s="119" t="s">
        <v>163</v>
      </c>
    </row>
    <row r="36" ht="24.75" customHeight="1">
      <c r="A36" s="2"/>
      <c r="B36" s="119" t="s">
        <v>164</v>
      </c>
    </row>
    <row r="37" ht="24.75" customHeight="1">
      <c r="A37" s="2"/>
      <c r="B37" s="119" t="s">
        <v>165</v>
      </c>
    </row>
    <row r="38" ht="21.75" customHeight="1">
      <c r="A38" s="2"/>
      <c r="B38" s="122" t="s">
        <v>166</v>
      </c>
    </row>
    <row r="39" ht="21.75" customHeight="1">
      <c r="A39" s="2"/>
      <c r="B39" s="122" t="s">
        <v>167</v>
      </c>
    </row>
    <row r="40" ht="9.75" customHeight="1">
      <c r="A40" s="2"/>
      <c r="B40" s="120"/>
    </row>
    <row r="41" ht="24.75" customHeight="1">
      <c r="A41" s="2"/>
      <c r="B41" s="121" t="s">
        <v>168</v>
      </c>
    </row>
    <row r="42" ht="21.75" customHeight="1">
      <c r="A42" s="2"/>
      <c r="B42" s="122" t="s">
        <v>169</v>
      </c>
    </row>
    <row r="43" ht="21.75" customHeight="1">
      <c r="A43" s="2"/>
      <c r="B43" s="122" t="s">
        <v>170</v>
      </c>
    </row>
    <row r="44" ht="21.75" customHeight="1">
      <c r="A44" s="2"/>
      <c r="B44" s="122" t="s">
        <v>171</v>
      </c>
    </row>
    <row r="45" ht="15.75" customHeight="1">
      <c r="A45" s="2"/>
      <c r="B45" s="2"/>
    </row>
    <row r="46" ht="24.75" customHeight="1">
      <c r="A46" s="2"/>
      <c r="B46" s="121" t="s">
        <v>172</v>
      </c>
    </row>
    <row r="47" ht="21.75" customHeight="1">
      <c r="A47" s="2"/>
      <c r="B47" s="123" t="s">
        <v>173</v>
      </c>
    </row>
    <row r="48" ht="21.75" customHeight="1">
      <c r="A48" s="2"/>
      <c r="B48" s="123" t="s">
        <v>174</v>
      </c>
    </row>
    <row r="49" ht="21.75" customHeight="1">
      <c r="A49" s="2"/>
      <c r="B49" s="123" t="s">
        <v>175</v>
      </c>
    </row>
    <row r="50" ht="21.75" customHeight="1">
      <c r="A50" s="2"/>
      <c r="B50" s="123" t="s">
        <v>176</v>
      </c>
    </row>
    <row r="51" ht="21.75" customHeight="1">
      <c r="A51" s="2"/>
      <c r="B51" s="122"/>
    </row>
    <row r="52" ht="21.75" customHeight="1">
      <c r="A52" s="2"/>
      <c r="B52" s="122" t="s">
        <v>177</v>
      </c>
    </row>
    <row r="53" ht="21.75" customHeight="1">
      <c r="A53" s="2"/>
      <c r="B53" s="122" t="s">
        <v>178</v>
      </c>
    </row>
    <row r="54" ht="21.75" customHeight="1">
      <c r="A54" s="2"/>
      <c r="B54" s="122" t="s">
        <v>179</v>
      </c>
    </row>
    <row r="55" ht="15.75" customHeight="1">
      <c r="A55" s="2"/>
      <c r="B55" s="2"/>
    </row>
    <row r="56" ht="24.75" customHeight="1">
      <c r="A56" s="2"/>
      <c r="B56" s="121" t="s">
        <v>180</v>
      </c>
    </row>
    <row r="57" ht="21.75" customHeight="1">
      <c r="A57" s="2"/>
      <c r="B57" s="123" t="s">
        <v>181</v>
      </c>
    </row>
    <row r="58" ht="21.75" customHeight="1">
      <c r="A58" s="2"/>
      <c r="B58" s="123" t="s">
        <v>182</v>
      </c>
    </row>
    <row r="59" ht="21.75" customHeight="1">
      <c r="A59" s="2"/>
      <c r="B59" s="123" t="s">
        <v>183</v>
      </c>
    </row>
    <row r="60" ht="21.75" customHeight="1">
      <c r="A60" s="2"/>
      <c r="B60" s="122"/>
    </row>
    <row r="61" ht="24.75" customHeight="1">
      <c r="A61" s="2"/>
      <c r="B61" s="121" t="s">
        <v>184</v>
      </c>
    </row>
    <row r="62" ht="21.75" customHeight="1">
      <c r="A62" s="2"/>
      <c r="B62" s="123" t="s">
        <v>185</v>
      </c>
    </row>
    <row r="63" ht="21.75" customHeight="1">
      <c r="A63" s="2"/>
      <c r="B63" s="123" t="s">
        <v>186</v>
      </c>
    </row>
    <row r="64" ht="21.75" customHeight="1">
      <c r="A64" s="2"/>
      <c r="B64" s="123" t="s">
        <v>187</v>
      </c>
    </row>
    <row r="65" ht="21.75" customHeight="1">
      <c r="A65" s="2"/>
      <c r="B65" s="122" t="s">
        <v>188</v>
      </c>
    </row>
    <row r="66" ht="21.75" customHeight="1">
      <c r="A66" s="2"/>
      <c r="B66" s="122" t="s">
        <v>189</v>
      </c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